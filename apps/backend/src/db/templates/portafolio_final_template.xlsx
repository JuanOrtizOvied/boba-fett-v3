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juan/Downloads/"/>
    </mc:Choice>
  </mc:AlternateContent>
  <xr:revisionPtr revIDLastSave="0" documentId="8_{14D68A05-9FA9-2249-8E61-7011A9EE2009}" xr6:coauthVersionLast="47" xr6:coauthVersionMax="47" xr10:uidLastSave="{00000000-0000-0000-0000-000000000000}"/>
  <bookViews>
    <workbookView xWindow="780" yWindow="1000" windowWidth="27640" windowHeight="16440" xr2:uid="{73178DB4-CED0-D749-985B-23D037ACB48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90" i="1" l="1"/>
  <c r="G92" i="1" s="1"/>
  <c r="G83" i="1"/>
  <c r="G85" i="1" s="1"/>
  <c r="G80" i="1"/>
  <c r="G71" i="1"/>
  <c r="G73" i="1" s="1"/>
  <c r="G64" i="1"/>
  <c r="D64" i="1"/>
  <c r="G53" i="1"/>
  <c r="G55" i="1" s="1"/>
  <c r="D53" i="1"/>
  <c r="G50" i="1"/>
  <c r="D50" i="1"/>
  <c r="G47" i="1"/>
  <c r="D47" i="1"/>
  <c r="G39" i="1"/>
  <c r="G41" i="1" s="1"/>
  <c r="D39" i="1"/>
  <c r="G37" i="1"/>
  <c r="G35" i="1"/>
  <c r="G33" i="1"/>
  <c r="G31" i="1"/>
  <c r="G29" i="1"/>
  <c r="G22" i="1"/>
  <c r="G24" i="1" s="1"/>
  <c r="G20" i="1"/>
  <c r="D55" i="1" l="1"/>
  <c r="D80" i="1"/>
  <c r="D71" i="1"/>
  <c r="D73" i="1" s="1"/>
  <c r="D37" i="1"/>
  <c r="D35" i="1"/>
  <c r="D33" i="1"/>
  <c r="D31" i="1"/>
  <c r="D29" i="1"/>
  <c r="D9" i="1"/>
  <c r="D11" i="1" s="1"/>
  <c r="D90" i="1"/>
  <c r="D92" i="1" s="1"/>
  <c r="D83" i="1"/>
  <c r="G94" i="1"/>
  <c r="D85" i="1" l="1"/>
  <c r="D102" i="1"/>
  <c r="D20" i="1"/>
  <c r="D22" i="1"/>
  <c r="D103" i="1"/>
  <c r="D41" i="1"/>
  <c r="D24" i="1" l="1"/>
  <c r="D94" i="1" s="1"/>
</calcChain>
</file>

<file path=xl/sharedStrings.xml><?xml version="1.0" encoding="utf-8"?>
<sst xmlns="http://schemas.openxmlformats.org/spreadsheetml/2006/main" count="107" uniqueCount="80">
  <si>
    <t>Portafolio Actualizado</t>
  </si>
  <si>
    <t>%</t>
  </si>
  <si>
    <r>
      <rPr>
        <b/>
        <sz val="14"/>
        <color rgb="FF000000"/>
        <rFont val="Avenir Next LT Pro"/>
        <family val="2"/>
      </rPr>
      <t>¡ATENCIÓN!:</t>
    </r>
    <r>
      <rPr>
        <b/>
        <sz val="11"/>
        <color rgb="FF000000"/>
        <rFont val="Avenir Next LT Pro"/>
        <family val="2"/>
      </rPr>
      <t xml:space="preserve"> </t>
    </r>
    <r>
      <rPr>
        <b/>
        <sz val="11"/>
        <color rgb="FF000000"/>
        <rFont val="Avenir Next LT Pro"/>
        <family val="2"/>
      </rPr>
      <t>SOLO RELLENAR CASILLAS EN BLANCO</t>
    </r>
    <r>
      <rPr>
        <b/>
        <sz val="11"/>
        <color rgb="FF000000"/>
        <rFont val="Avenir Next LT Pro"/>
        <family val="2"/>
      </rPr>
      <t xml:space="preserve">, donde corresponda. No tocar casillas de colores. La información ingresada en las pestañas anteriores se traduce automáticamente a esta pestaña </t>
    </r>
    <r>
      <rPr>
        <b/>
        <u/>
        <sz val="11"/>
        <color rgb="FF000000"/>
        <rFont val="Avenir Next LT Pro"/>
        <family val="2"/>
      </rPr>
      <t>de manera porcentual</t>
    </r>
    <r>
      <rPr>
        <b/>
        <sz val="11"/>
        <color rgb="FF000000"/>
        <rFont val="Avenir Next LT Pro"/>
        <family val="2"/>
      </rPr>
      <t>.</t>
    </r>
  </si>
  <si>
    <r>
      <rPr>
        <b/>
        <sz val="11"/>
        <color rgb="FF000000"/>
        <rFont val="Avenir Next LT Pro"/>
        <family val="2"/>
      </rPr>
      <t xml:space="preserve">INSTRUCCIONES:
</t>
    </r>
    <r>
      <rPr>
        <sz val="11"/>
        <color rgb="FF000000"/>
        <rFont val="Avenir Next LT Pro"/>
        <family val="2"/>
      </rPr>
      <t>1. ¡No tocar las casillas de colores!
2. Ingresar información únicamente en las casillas en blanco, donde corresponda.
3. En "Retorno Último Año Aprox" ingresar la rentabilidad porcentual de cada rubro donde estuviste/estás invertido.
4. En "Portafolio Deseado" ingresar cómo desearías tener dividido tu portafolio de inversión. Confirma al final de la columna, en la casilla amarilla, que tu Portafolio Deseado sume exactamente 100%.
5. En "Retorno Esperado 3-5 Años (Anualizado)" ingresa los retornos esperados por año de cada una de las inversiones de tu "Portafolio Deseado".
6. Recuerdas SOLO llenar las casillas en blanco. No toques las casillas de colores.</t>
    </r>
  </si>
  <si>
    <t>Empresas vs. Portafolio de Inversión</t>
  </si>
  <si>
    <t>Patrimonio Generador 
de Ingresos</t>
  </si>
  <si>
    <t>Acciones en Empresas Privadas</t>
  </si>
  <si>
    <t>Portafolio de Inversión</t>
  </si>
  <si>
    <t>TOTAL</t>
  </si>
  <si>
    <t>PORTAFOLIO DE INVERSIÓN</t>
  </si>
  <si>
    <r>
      <rPr>
        <b/>
        <sz val="11"/>
        <color rgb="FFFF0000"/>
        <rFont val="Avenir Next LT Pro"/>
        <family val="2"/>
      </rPr>
      <t>ACTUAL</t>
    </r>
    <r>
      <rPr>
        <b/>
        <sz val="11"/>
        <color theme="1"/>
        <rFont val="Avenir Next LT Pro"/>
        <family val="2"/>
      </rPr>
      <t xml:space="preserve">
</t>
    </r>
    <r>
      <rPr>
        <b/>
        <sz val="11"/>
        <color rgb="FFFF0000"/>
        <rFont val="Avenir Next LT Pro"/>
        <family val="2"/>
      </rPr>
      <t xml:space="preserve">* </t>
    </r>
    <r>
      <rPr>
        <b/>
        <u/>
        <sz val="11"/>
        <color rgb="FFFF0000"/>
        <rFont val="Avenir Next LT Pro"/>
        <family val="2"/>
      </rPr>
      <t>NO TOCAR</t>
    </r>
    <r>
      <rPr>
        <b/>
        <sz val="11"/>
        <color rgb="FFFF0000"/>
        <rFont val="Avenir Next LT Pro"/>
        <family val="2"/>
      </rPr>
      <t xml:space="preserve"> *</t>
    </r>
  </si>
  <si>
    <t>RETORNO ÚLTIMO AÑO APROX</t>
  </si>
  <si>
    <t>PORTAFOLIO DESEADO</t>
  </si>
  <si>
    <t>RETORNO ESPERADO 3-5 AÑOS (ANUALIZADO)</t>
  </si>
  <si>
    <t>Inversiones Directas</t>
  </si>
  <si>
    <t>* Solo llenar las casillas en blanco *</t>
  </si>
  <si>
    <t>Real Estate Perú</t>
  </si>
  <si>
    <t>Residencial</t>
  </si>
  <si>
    <r>
      <rPr>
        <b/>
        <sz val="11"/>
        <color rgb="FF000000"/>
        <rFont val="Avenir Next LT Pro"/>
        <family val="2"/>
      </rPr>
      <t>UNA VEZ TERMINADO:</t>
    </r>
    <r>
      <rPr>
        <sz val="11"/>
        <color rgb="FF000000"/>
        <rFont val="Avenir Next LT Pro"/>
        <family val="2"/>
      </rPr>
      <t xml:space="preserve">
1. Haz click derecho en la pestaña "Portafolio Final - Atención" y selecciona "Mover o Copiar".
2. Elige "(nuevo libro)" en el menú desplegable y dale click a "Aceptar".
3. Guarda el nuevo documento con tu nombre y fecha.
4. Revisa el nuevo documento para asegurarte de que no incluya las demás pestañas, sino solo la última.
5. Envíanos el nuevo documento al correo: </t>
    </r>
    <r>
      <rPr>
        <b/>
        <sz val="11"/>
        <color rgb="FF000000"/>
        <rFont val="Avenir Next LT Pro"/>
        <family val="2"/>
      </rPr>
      <t>lorenzo@sabbi.com</t>
    </r>
  </si>
  <si>
    <t>Oficinas</t>
  </si>
  <si>
    <t>Comercial / Industrial</t>
  </si>
  <si>
    <t>Subtotal Real Estate Perú</t>
  </si>
  <si>
    <t>Real Estate Extranjero</t>
  </si>
  <si>
    <t>Propiedades en el Extranjero en general</t>
  </si>
  <si>
    <t>Subtotal Real Estate Extranjero</t>
  </si>
  <si>
    <t>SUB TOTAL</t>
  </si>
  <si>
    <t>Mercados Privados</t>
  </si>
  <si>
    <t>Deuda Privada</t>
  </si>
  <si>
    <t>Private Debt</t>
  </si>
  <si>
    <t>Subtotal Private Debt</t>
  </si>
  <si>
    <t xml:space="preserve">Private Equity </t>
  </si>
  <si>
    <t>Private Equity</t>
  </si>
  <si>
    <t>Subtotal Private Equity</t>
  </si>
  <si>
    <t>Venture Capital</t>
  </si>
  <si>
    <t>Subtotal Venture Capital</t>
  </si>
  <si>
    <t>Real Estate</t>
  </si>
  <si>
    <t>Subtotal Real Estate</t>
  </si>
  <si>
    <t>Hedge Funds</t>
  </si>
  <si>
    <t>Subtotal Hedge Funds</t>
  </si>
  <si>
    <t>Infraestructure</t>
  </si>
  <si>
    <t>Infrastructure</t>
  </si>
  <si>
    <t>Subtotal Infrastructure</t>
  </si>
  <si>
    <t>Club Deals</t>
  </si>
  <si>
    <t>Perú</t>
  </si>
  <si>
    <t>Extranjero</t>
  </si>
  <si>
    <t>Subtotal Deuda Privada</t>
  </si>
  <si>
    <t>Otros</t>
  </si>
  <si>
    <t>Subtotal Otros</t>
  </si>
  <si>
    <t>Mercados Públicos</t>
  </si>
  <si>
    <t>Renta Variable Mercados Publicos</t>
  </si>
  <si>
    <t>US Large Cap</t>
  </si>
  <si>
    <t>US Mid and Small Cap</t>
  </si>
  <si>
    <t>Mercados Desarrollados (ex US)</t>
  </si>
  <si>
    <t>Mercados Emergentes (ex Peru)</t>
  </si>
  <si>
    <t>Subtotal Renta Variable Mercados Publicos</t>
  </si>
  <si>
    <t xml:space="preserve">Renta Fija Mercados Públicos </t>
  </si>
  <si>
    <t xml:space="preserve">US Treasuries (Bonos del Tesoro de US) </t>
  </si>
  <si>
    <t>Bonos Corporativos Investment Grade (AAA-BBB)</t>
  </si>
  <si>
    <t xml:space="preserve">Bonos High Yield (BB o menor) </t>
  </si>
  <si>
    <t>Bonos de Mercados Emergentes</t>
  </si>
  <si>
    <t>Bonos Latinoamérica</t>
  </si>
  <si>
    <t>Bonos Perú</t>
  </si>
  <si>
    <t>Subtotal Renta Fija Mercados Públicos</t>
  </si>
  <si>
    <t xml:space="preserve">Otros </t>
  </si>
  <si>
    <t xml:space="preserve">Cripto </t>
  </si>
  <si>
    <t xml:space="preserve">Bitcoin </t>
  </si>
  <si>
    <t xml:space="preserve">Ethereum </t>
  </si>
  <si>
    <t>Otras Criptomonedas</t>
  </si>
  <si>
    <t>Subtotal Cripto</t>
  </si>
  <si>
    <t>Commodites</t>
  </si>
  <si>
    <t>Oro</t>
  </si>
  <si>
    <t>Otros Commodities</t>
  </si>
  <si>
    <t>Subtotal Commodities</t>
  </si>
  <si>
    <t>Cash y Equivalentes</t>
  </si>
  <si>
    <t xml:space="preserve">Cash </t>
  </si>
  <si>
    <t>Depósitos a Plazo, Fondos de Money Market</t>
  </si>
  <si>
    <t>Subtotal Cash</t>
  </si>
  <si>
    <r>
      <t xml:space="preserve">* Asegúrate de que tu Portafolio Deseado sume </t>
    </r>
    <r>
      <rPr>
        <b/>
        <sz val="11"/>
        <color theme="1"/>
        <rFont val="Aptos Narrow"/>
        <family val="2"/>
        <scheme val="minor"/>
      </rPr>
      <t>100%</t>
    </r>
    <r>
      <rPr>
        <sz val="12"/>
        <color theme="1"/>
        <rFont val="Aptos Narrow"/>
        <family val="2"/>
        <scheme val="minor"/>
      </rPr>
      <t xml:space="preserve"> *</t>
    </r>
  </si>
  <si>
    <t>Inversiones por Ubicación Geográfica</t>
  </si>
  <si>
    <t>División Geográfica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</si>
</sst>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font>
      <sz val="12"/>
      <color theme="1"/>
      <name val="Aptos Narrow"/>
      <family val="2"/>
      <scheme val="minor"/>
    </font>
    <font>
      <sz val="12"/>
      <color theme="1"/>
      <name val="Aptos Narrow"/>
      <family val="2"/>
      <scheme val="minor"/>
    </font>
    <font>
      <b/>
      <sz val="14"/>
      <color theme="0"/>
      <name val="Avenir Next LT Pro"/>
      <family val="2"/>
    </font>
    <font>
      <sz val="11"/>
      <color theme="1"/>
      <name val="Avenir Next LT Pro"/>
      <family val="2"/>
    </font>
    <font>
      <b/>
      <sz val="11"/>
      <color theme="0"/>
      <name val="Avenir Next LT Pro"/>
      <family val="2"/>
    </font>
    <font>
      <b/>
      <sz val="11"/>
      <color rgb="FF000000"/>
      <name val="Avenir Next LT Pro"/>
      <family val="2"/>
    </font>
    <font>
      <b/>
      <sz val="14"/>
      <color rgb="FF000000"/>
      <name val="Avenir Next LT Pro"/>
      <family val="2"/>
    </font>
    <font>
      <b/>
      <u/>
      <sz val="11"/>
      <color rgb="FF000000"/>
      <name val="Avenir Next LT Pro"/>
      <family val="2"/>
    </font>
    <font>
      <sz val="11"/>
      <color rgb="FF000000"/>
      <name val="Avenir Next LT Pro"/>
      <family val="2"/>
    </font>
    <font>
      <b/>
      <sz val="12"/>
      <color theme="0"/>
      <name val="Avenir Next LT Pro"/>
      <family val="2"/>
    </font>
    <font>
      <b/>
      <sz val="11"/>
      <color theme="1"/>
      <name val="Avenir Next LT Pro"/>
      <family val="2"/>
    </font>
    <font>
      <b/>
      <sz val="14"/>
      <color theme="1"/>
      <name val="Avenir Next LT Pro"/>
      <family val="2"/>
    </font>
    <font>
      <b/>
      <sz val="11"/>
      <color rgb="FFFF0000"/>
      <name val="Avenir Next LT Pro"/>
      <family val="2"/>
    </font>
    <font>
      <b/>
      <u/>
      <sz val="11"/>
      <color rgb="FFFF0000"/>
      <name val="Avenir Next LT Pro"/>
      <family val="2"/>
    </font>
    <font>
      <b/>
      <sz val="11"/>
      <name val="Avenir Next LT Pro"/>
      <family val="2"/>
    </font>
    <font>
      <b/>
      <sz val="11"/>
      <color theme="1"/>
      <name val="Aptos Narrow"/>
      <family val="2"/>
      <scheme val="minor"/>
    </font>
    <font>
      <sz val="11"/>
      <color rgb="FFFF0000"/>
      <name val="Avenir Next LT Pro"/>
      <family val="2"/>
    </font>
    <font>
      <sz val="11"/>
      <color rgb="FFFF0000"/>
      <name val="Aptos Narrow"/>
      <family val="2"/>
      <scheme val="minor"/>
    </font>
    <font>
      <sz val="16"/>
      <color theme="0"/>
      <name val="Avenir Next LT Pro"/>
      <family val="2"/>
    </font>
    <font>
      <sz val="11"/>
      <color theme="0"/>
      <name val="Avenir Next LT Pro"/>
      <family val="2"/>
    </font>
    <font>
      <sz val="16"/>
      <color theme="1"/>
      <name val="Avenir Next LT Pro"/>
      <family val="2"/>
    </font>
    <font>
      <b/>
      <sz val="12"/>
      <color theme="1"/>
      <name val="Avenir Next LT Pro"/>
      <family val="2"/>
    </font>
  </fonts>
  <fills count="28">
    <fill>
      <patternFill patternType="none"/>
    </fill>
    <fill>
      <patternFill patternType="gray125"/>
    </fill>
    <fill>
      <patternFill patternType="solid">
        <fgColor theme="9" tint="-0.249977111117893"/>
        <bgColor indexed="64"/>
      </patternFill>
    </fill>
    <fill>
      <patternFill patternType="solid">
        <fgColor rgb="FFFF0000"/>
        <bgColor indexed="64"/>
      </patternFill>
    </fill>
    <fill>
      <patternFill patternType="solid">
        <fgColor theme="6" tint="0.79998168889431442"/>
        <bgColor indexed="64"/>
      </patternFill>
    </fill>
    <fill>
      <patternFill patternType="solid">
        <fgColor rgb="FF3B3BFF"/>
        <bgColor indexed="64"/>
      </patternFill>
    </fill>
    <fill>
      <patternFill patternType="solid">
        <fgColor rgb="FF4E6AFF"/>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AB57"/>
        <bgColor indexed="64"/>
      </patternFill>
    </fill>
    <fill>
      <patternFill patternType="solid">
        <fgColor rgb="FFFFCC66"/>
        <bgColor indexed="64"/>
      </patternFill>
    </fill>
    <fill>
      <patternFill patternType="solid">
        <fgColor rgb="FFFDE4A6"/>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CA84E8"/>
        <bgColor indexed="64"/>
      </patternFill>
    </fill>
    <fill>
      <patternFill patternType="solid">
        <fgColor rgb="FFE8C3F7"/>
        <bgColor indexed="64"/>
      </patternFill>
    </fill>
    <fill>
      <patternFill patternType="solid">
        <fgColor rgb="FFF7DEFE"/>
        <bgColor indexed="64"/>
      </patternFill>
    </fill>
    <fill>
      <patternFill patternType="solid">
        <fgColor rgb="FFFFFF00"/>
        <bgColor indexed="64"/>
      </patternFill>
    </fill>
    <fill>
      <patternFill patternType="solid">
        <fgColor rgb="FFFFC000"/>
        <bgColor indexed="64"/>
      </patternFill>
    </fill>
  </fills>
  <borders count="6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medium">
        <color indexed="64"/>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thin">
        <color rgb="FF000000"/>
      </top>
      <bottom/>
      <diagonal/>
    </border>
    <border>
      <left/>
      <right/>
      <top style="thin">
        <color rgb="FF000000"/>
      </top>
      <bottom/>
      <diagonal/>
    </border>
    <border>
      <left style="medium">
        <color indexed="64"/>
      </left>
      <right style="medium">
        <color indexed="64"/>
      </right>
      <top/>
      <bottom style="thin">
        <color rgb="FF000000"/>
      </bottom>
      <diagonal/>
    </border>
    <border>
      <left/>
      <right/>
      <top/>
      <bottom style="thin">
        <color rgb="FF000000"/>
      </bottom>
      <diagonal/>
    </border>
    <border>
      <left style="medium">
        <color indexed="64"/>
      </left>
      <right style="medium">
        <color indexed="64"/>
      </right>
      <top style="thin">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thin">
        <color indexed="64"/>
      </bottom>
      <diagonal/>
    </border>
    <border>
      <left style="medium">
        <color rgb="FF000000"/>
      </left>
      <right style="medium">
        <color rgb="FF000000"/>
      </right>
      <top/>
      <bottom/>
      <diagonal/>
    </border>
    <border>
      <left/>
      <right style="medium">
        <color rgb="FF000000"/>
      </right>
      <top style="thin">
        <color indexed="64"/>
      </top>
      <bottom style="thin">
        <color indexed="64"/>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style="thin">
        <color indexed="64"/>
      </top>
      <bottom/>
      <diagonal/>
    </border>
    <border>
      <left style="medium">
        <color rgb="FF000000"/>
      </left>
      <right/>
      <top style="medium">
        <color rgb="FF000000"/>
      </top>
      <bottom/>
      <diagonal/>
    </border>
    <border>
      <left style="medium">
        <color rgb="FF000000"/>
      </left>
      <right style="medium">
        <color rgb="FF000000"/>
      </right>
      <top/>
      <bottom style="thin">
        <color indexed="64"/>
      </bottom>
      <diagonal/>
    </border>
    <border>
      <left/>
      <right/>
      <top/>
      <bottom style="thin">
        <color indexed="64"/>
      </bottom>
      <diagonal/>
    </border>
    <border>
      <left style="medium">
        <color rgb="FF000000"/>
      </left>
      <right/>
      <top/>
      <bottom/>
      <diagonal/>
    </border>
    <border>
      <left style="medium">
        <color rgb="FF000000"/>
      </left>
      <right style="medium">
        <color rgb="FF000000"/>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rgb="FF000000"/>
      </left>
      <right/>
      <top/>
      <bottom style="medium">
        <color rgb="FF000000"/>
      </bottom>
      <diagonal/>
    </border>
    <border>
      <left style="medium">
        <color rgb="FF000000"/>
      </left>
      <right style="medium">
        <color rgb="FF000000"/>
      </right>
      <top style="thin">
        <color indexed="64"/>
      </top>
      <bottom/>
      <diagonal/>
    </border>
    <border>
      <left/>
      <right/>
      <top style="medium">
        <color indexed="64"/>
      </top>
      <bottom style="thin">
        <color indexed="64"/>
      </bottom>
      <diagonal/>
    </border>
    <border>
      <left/>
      <right/>
      <top style="medium">
        <color rgb="FF000000"/>
      </top>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35">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9" fontId="2" fillId="2" borderId="3" xfId="1" applyFont="1" applyFill="1" applyBorder="1" applyAlignment="1">
      <alignment horizontal="center" vertical="center"/>
    </xf>
    <xf numFmtId="0" fontId="3" fillId="0" borderId="0" xfId="0" applyFont="1"/>
    <xf numFmtId="0" fontId="4" fillId="0" borderId="0" xfId="0" applyFont="1" applyAlignment="1">
      <alignment horizontal="left"/>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8" fillId="4" borderId="4" xfId="0" applyFont="1" applyFill="1" applyBorder="1" applyAlignment="1">
      <alignment horizontal="left" vertical="center" wrapText="1"/>
    </xf>
    <xf numFmtId="0" fontId="8" fillId="4" borderId="5" xfId="0" applyFont="1" applyFill="1" applyBorder="1" applyAlignment="1">
      <alignment horizontal="left" vertical="center" wrapText="1"/>
    </xf>
    <xf numFmtId="0" fontId="8" fillId="4" borderId="6" xfId="0" applyFont="1" applyFill="1" applyBorder="1" applyAlignment="1">
      <alignment horizontal="left" vertical="center" wrapText="1"/>
    </xf>
    <xf numFmtId="0" fontId="8" fillId="0" borderId="0" xfId="0" applyFont="1" applyAlignment="1">
      <alignment vertical="center" wrapText="1"/>
    </xf>
    <xf numFmtId="0" fontId="8" fillId="4" borderId="10" xfId="0" applyFont="1" applyFill="1" applyBorder="1" applyAlignment="1">
      <alignment horizontal="left" vertical="center" wrapText="1"/>
    </xf>
    <xf numFmtId="0" fontId="8" fillId="4" borderId="0" xfId="0" applyFont="1" applyFill="1" applyAlignment="1">
      <alignment horizontal="left" vertical="center" wrapText="1"/>
    </xf>
    <xf numFmtId="0" fontId="8" fillId="4" borderId="11" xfId="0" applyFont="1" applyFill="1" applyBorder="1" applyAlignment="1">
      <alignment horizontal="left" vertical="center" wrapText="1"/>
    </xf>
    <xf numFmtId="0" fontId="9" fillId="5" borderId="12"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0" borderId="0" xfId="0" applyFont="1" applyAlignment="1">
      <alignment vertical="center" wrapText="1"/>
    </xf>
    <xf numFmtId="0" fontId="10" fillId="0" borderId="0" xfId="0" applyFont="1" applyAlignment="1">
      <alignment horizontal="center" vertical="center" wrapText="1"/>
    </xf>
    <xf numFmtId="9" fontId="3" fillId="0" borderId="0" xfId="1" applyFont="1" applyFill="1" applyBorder="1"/>
    <xf numFmtId="0" fontId="9" fillId="5" borderId="12" xfId="0" applyFont="1" applyFill="1" applyBorder="1" applyAlignment="1">
      <alignment horizontal="left" vertical="center" wrapText="1"/>
    </xf>
    <xf numFmtId="0" fontId="9" fillId="6" borderId="3" xfId="0" applyFont="1" applyFill="1" applyBorder="1" applyAlignment="1">
      <alignment horizontal="left" vertical="center"/>
    </xf>
    <xf numFmtId="10" fontId="9" fillId="6" borderId="3" xfId="1" applyNumberFormat="1" applyFont="1" applyFill="1" applyBorder="1" applyAlignment="1">
      <alignment horizontal="center" vertical="center"/>
    </xf>
    <xf numFmtId="10" fontId="3" fillId="0" borderId="0" xfId="1" applyNumberFormat="1" applyFont="1" applyFill="1" applyBorder="1"/>
    <xf numFmtId="0" fontId="9" fillId="5" borderId="14" xfId="0" applyFont="1" applyFill="1" applyBorder="1" applyAlignment="1">
      <alignment horizontal="left" vertical="center" wrapText="1"/>
    </xf>
    <xf numFmtId="0" fontId="10" fillId="0" borderId="0" xfId="0" applyFont="1" applyAlignment="1">
      <alignment horizontal="left"/>
    </xf>
    <xf numFmtId="0" fontId="9" fillId="0" borderId="0" xfId="0" applyFont="1" applyAlignment="1">
      <alignment horizontal="center" vertical="center" wrapText="1"/>
    </xf>
    <xf numFmtId="10" fontId="9" fillId="0" borderId="0" xfId="1" applyNumberFormat="1" applyFont="1" applyFill="1" applyBorder="1" applyAlignment="1">
      <alignment horizontal="center" vertical="center" wrapText="1"/>
    </xf>
    <xf numFmtId="0" fontId="9" fillId="5" borderId="3" xfId="0" applyFont="1" applyFill="1" applyBorder="1" applyAlignment="1">
      <alignment horizontal="left" vertical="center" wrapText="1"/>
    </xf>
    <xf numFmtId="9" fontId="9" fillId="5" borderId="3" xfId="1" applyFont="1" applyFill="1" applyBorder="1" applyAlignment="1">
      <alignment horizontal="center" vertical="center" wrapText="1"/>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0" fillId="0" borderId="3" xfId="0" applyFont="1" applyBorder="1" applyAlignment="1">
      <alignment horizontal="center" vertical="center" wrapText="1"/>
    </xf>
    <xf numFmtId="0" fontId="8" fillId="4" borderId="7" xfId="0" applyFont="1" applyFill="1" applyBorder="1" applyAlignment="1">
      <alignment horizontal="left" vertical="center" wrapText="1"/>
    </xf>
    <xf numFmtId="0" fontId="8" fillId="4" borderId="8" xfId="0" applyFont="1" applyFill="1" applyBorder="1" applyAlignment="1">
      <alignment horizontal="left" vertical="center" wrapText="1"/>
    </xf>
    <xf numFmtId="0" fontId="8" fillId="4" borderId="9" xfId="0" applyFont="1" applyFill="1" applyBorder="1" applyAlignment="1">
      <alignment horizontal="left" vertical="center" wrapText="1"/>
    </xf>
    <xf numFmtId="0" fontId="14" fillId="7" borderId="0" xfId="0" applyFont="1" applyFill="1" applyAlignment="1">
      <alignment horizontal="center" vertical="center"/>
    </xf>
    <xf numFmtId="0" fontId="3" fillId="7" borderId="0" xfId="0" applyFont="1" applyFill="1" applyAlignment="1">
      <alignment horizontal="center"/>
    </xf>
    <xf numFmtId="0" fontId="15" fillId="0" borderId="0" xfId="0" applyFont="1"/>
    <xf numFmtId="0" fontId="10" fillId="8" borderId="17" xfId="0" applyFont="1" applyFill="1" applyBorder="1" applyAlignment="1">
      <alignment horizontal="left" vertical="center" wrapText="1" shrinkToFit="1"/>
    </xf>
    <xf numFmtId="0" fontId="3" fillId="9" borderId="18" xfId="0" applyFont="1" applyFill="1" applyBorder="1" applyAlignment="1">
      <alignment horizontal="left" indent="1"/>
    </xf>
    <xf numFmtId="164" fontId="16" fillId="9" borderId="12" xfId="1" applyNumberFormat="1" applyFont="1" applyFill="1" applyBorder="1" applyAlignment="1">
      <alignment horizontal="center" vertical="center"/>
    </xf>
    <xf numFmtId="10" fontId="3" fillId="0" borderId="18" xfId="1" applyNumberFormat="1" applyFont="1" applyBorder="1" applyAlignment="1">
      <alignment horizontal="center" vertical="center"/>
    </xf>
    <xf numFmtId="10" fontId="3" fillId="0" borderId="0" xfId="1" applyNumberFormat="1" applyFont="1" applyFill="1" applyBorder="1" applyAlignment="1">
      <alignment horizontal="center" vertical="center"/>
    </xf>
    <xf numFmtId="0" fontId="10" fillId="8" borderId="19" xfId="0" applyFont="1" applyFill="1" applyBorder="1" applyAlignment="1">
      <alignment horizontal="left" vertical="center" wrapText="1" shrinkToFit="1"/>
    </xf>
    <xf numFmtId="0" fontId="3" fillId="9" borderId="20" xfId="0" applyFont="1" applyFill="1" applyBorder="1" applyAlignment="1">
      <alignment horizontal="left" indent="1"/>
    </xf>
    <xf numFmtId="164" fontId="16" fillId="9" borderId="21" xfId="1" applyNumberFormat="1" applyFont="1" applyFill="1" applyBorder="1" applyAlignment="1">
      <alignment horizontal="center" vertical="center"/>
    </xf>
    <xf numFmtId="10" fontId="3" fillId="0" borderId="22" xfId="1" applyNumberFormat="1" applyFont="1" applyBorder="1" applyAlignment="1">
      <alignment horizontal="center" vertical="center"/>
    </xf>
    <xf numFmtId="0" fontId="10" fillId="8" borderId="23" xfId="0" applyFont="1" applyFill="1" applyBorder="1" applyAlignment="1">
      <alignment horizontal="left" vertical="center" wrapText="1" shrinkToFit="1"/>
    </xf>
    <xf numFmtId="0" fontId="3" fillId="9" borderId="24" xfId="0" applyFont="1" applyFill="1" applyBorder="1" applyAlignment="1">
      <alignment horizontal="left" indent="1"/>
    </xf>
    <xf numFmtId="164" fontId="16" fillId="9" borderId="14" xfId="1" applyNumberFormat="1" applyFont="1" applyFill="1" applyBorder="1" applyAlignment="1">
      <alignment horizontal="center" vertical="center"/>
    </xf>
    <xf numFmtId="10" fontId="3" fillId="0" borderId="24" xfId="1" applyNumberFormat="1" applyFont="1" applyBorder="1" applyAlignment="1">
      <alignment horizontal="center" vertical="center"/>
    </xf>
    <xf numFmtId="9" fontId="0" fillId="0" borderId="0" xfId="0" applyNumberFormat="1"/>
    <xf numFmtId="0" fontId="10" fillId="8" borderId="25" xfId="0" applyFont="1" applyFill="1" applyBorder="1" applyAlignment="1">
      <alignment horizontal="left"/>
    </xf>
    <xf numFmtId="164" fontId="12" fillId="8" borderId="13" xfId="1" applyNumberFormat="1" applyFont="1" applyFill="1" applyBorder="1" applyAlignment="1">
      <alignment horizontal="center" vertical="center"/>
    </xf>
    <xf numFmtId="10" fontId="10" fillId="8" borderId="3" xfId="1" applyNumberFormat="1" applyFont="1" applyFill="1" applyBorder="1" applyAlignment="1">
      <alignment horizontal="center" vertical="center"/>
    </xf>
    <xf numFmtId="10" fontId="10" fillId="0" borderId="0" xfId="1" applyNumberFormat="1" applyFont="1" applyFill="1" applyBorder="1" applyAlignment="1">
      <alignment horizontal="center" vertical="center"/>
    </xf>
    <xf numFmtId="10" fontId="10" fillId="8" borderId="23" xfId="1" applyNumberFormat="1" applyFont="1" applyFill="1" applyBorder="1" applyAlignment="1">
      <alignment horizontal="center" vertical="center"/>
    </xf>
    <xf numFmtId="0" fontId="10" fillId="8" borderId="1" xfId="0" applyFont="1" applyFill="1" applyBorder="1" applyAlignment="1">
      <alignment vertical="center" wrapText="1" shrinkToFit="1"/>
    </xf>
    <xf numFmtId="164" fontId="16" fillId="9" borderId="1" xfId="1" applyNumberFormat="1" applyFont="1" applyFill="1" applyBorder="1" applyAlignment="1">
      <alignment horizontal="center" vertical="center"/>
    </xf>
    <xf numFmtId="10" fontId="3" fillId="0" borderId="3" xfId="1" applyNumberFormat="1" applyFont="1" applyBorder="1" applyAlignment="1">
      <alignment horizontal="center" vertical="center"/>
    </xf>
    <xf numFmtId="0" fontId="10" fillId="8" borderId="26" xfId="0" applyFont="1" applyFill="1" applyBorder="1" applyAlignment="1">
      <alignment horizontal="left"/>
    </xf>
    <xf numFmtId="164" fontId="12" fillId="8" borderId="8" xfId="1" applyNumberFormat="1" applyFont="1" applyFill="1" applyBorder="1" applyAlignment="1">
      <alignment horizontal="center" vertical="center"/>
    </xf>
    <xf numFmtId="164" fontId="0" fillId="0" borderId="0" xfId="0" applyNumberFormat="1"/>
    <xf numFmtId="10" fontId="0" fillId="0" borderId="0" xfId="0" applyNumberFormat="1"/>
    <xf numFmtId="0" fontId="10" fillId="0" borderId="0" xfId="0" applyFont="1" applyAlignment="1">
      <alignment horizontal="right" vertical="center" wrapText="1" indent="1" shrinkToFit="1"/>
    </xf>
    <xf numFmtId="0" fontId="10" fillId="7" borderId="27" xfId="0" applyFont="1" applyFill="1" applyBorder="1" applyAlignment="1">
      <alignment horizontal="left"/>
    </xf>
    <xf numFmtId="164" fontId="12" fillId="7" borderId="27" xfId="1" applyNumberFormat="1" applyFont="1" applyFill="1" applyBorder="1" applyAlignment="1">
      <alignment horizontal="center" vertical="center"/>
    </xf>
    <xf numFmtId="10" fontId="10" fillId="7" borderId="3" xfId="1" applyNumberFormat="1" applyFont="1" applyFill="1" applyBorder="1" applyAlignment="1">
      <alignment horizontal="center" vertical="center"/>
    </xf>
    <xf numFmtId="164" fontId="3" fillId="0" borderId="0" xfId="0" applyNumberFormat="1" applyFont="1"/>
    <xf numFmtId="10" fontId="3" fillId="0" borderId="0" xfId="0" applyNumberFormat="1" applyFont="1"/>
    <xf numFmtId="0" fontId="14" fillId="10" borderId="0" xfId="0" applyFont="1" applyFill="1" applyAlignment="1">
      <alignment horizontal="left"/>
    </xf>
    <xf numFmtId="0" fontId="14" fillId="10" borderId="0" xfId="0" applyFont="1" applyFill="1" applyAlignment="1">
      <alignment horizontal="center"/>
    </xf>
    <xf numFmtId="164" fontId="3" fillId="10" borderId="0" xfId="0" applyNumberFormat="1" applyFont="1" applyFill="1" applyAlignment="1">
      <alignment horizontal="center"/>
    </xf>
    <xf numFmtId="0" fontId="10" fillId="11" borderId="28" xfId="0" applyFont="1" applyFill="1" applyBorder="1" applyAlignment="1">
      <alignment vertical="center" wrapText="1" shrinkToFit="1"/>
    </xf>
    <xf numFmtId="0" fontId="3" fillId="12" borderId="29" xfId="0" applyFont="1" applyFill="1" applyBorder="1" applyAlignment="1">
      <alignment horizontal="left" indent="1"/>
    </xf>
    <xf numFmtId="164" fontId="16" fillId="12" borderId="5" xfId="1" applyNumberFormat="1" applyFont="1" applyFill="1" applyBorder="1" applyAlignment="1">
      <alignment horizontal="center" vertical="center"/>
    </xf>
    <xf numFmtId="0" fontId="10" fillId="0" borderId="0" xfId="0" applyFont="1" applyAlignment="1">
      <alignment horizontal="left" vertical="center" wrapText="1" shrinkToFit="1"/>
    </xf>
    <xf numFmtId="0" fontId="10" fillId="11" borderId="3" xfId="0" applyFont="1" applyFill="1" applyBorder="1" applyAlignment="1">
      <alignment horizontal="left"/>
    </xf>
    <xf numFmtId="164" fontId="12" fillId="11" borderId="1" xfId="0" applyNumberFormat="1" applyFont="1" applyFill="1" applyBorder="1" applyAlignment="1">
      <alignment horizontal="center" vertical="center"/>
    </xf>
    <xf numFmtId="10" fontId="10" fillId="11" borderId="3" xfId="0" applyNumberFormat="1" applyFont="1" applyFill="1" applyBorder="1" applyAlignment="1">
      <alignment horizontal="center" vertical="center"/>
    </xf>
    <xf numFmtId="10" fontId="10" fillId="0" borderId="0" xfId="0" applyNumberFormat="1" applyFont="1" applyAlignment="1">
      <alignment horizontal="center" vertical="center"/>
    </xf>
    <xf numFmtId="0" fontId="3" fillId="12" borderId="30" xfId="0" applyFont="1" applyFill="1" applyBorder="1" applyAlignment="1">
      <alignment horizontal="left" indent="1"/>
    </xf>
    <xf numFmtId="0" fontId="10" fillId="11" borderId="27" xfId="0" applyFont="1" applyFill="1" applyBorder="1" applyAlignment="1">
      <alignment vertical="center" wrapText="1" shrinkToFit="1"/>
    </xf>
    <xf numFmtId="0" fontId="3" fillId="12" borderId="3" xfId="0" applyFont="1" applyFill="1" applyBorder="1" applyAlignment="1">
      <alignment horizontal="left" indent="1"/>
    </xf>
    <xf numFmtId="164" fontId="16" fillId="12" borderId="1" xfId="1" applyNumberFormat="1" applyFont="1" applyFill="1" applyBorder="1" applyAlignment="1">
      <alignment horizontal="center" vertical="center"/>
    </xf>
    <xf numFmtId="0" fontId="10" fillId="0" borderId="0" xfId="0" applyFont="1" applyAlignment="1">
      <alignment vertical="center" wrapText="1" shrinkToFit="1"/>
    </xf>
    <xf numFmtId="0" fontId="10" fillId="11" borderId="27" xfId="0" applyFont="1" applyFill="1" applyBorder="1" applyAlignment="1">
      <alignment vertical="center"/>
    </xf>
    <xf numFmtId="0" fontId="10" fillId="0" borderId="0" xfId="0" applyFont="1" applyAlignment="1">
      <alignment vertical="center"/>
    </xf>
    <xf numFmtId="0" fontId="10" fillId="11" borderId="1" xfId="0" applyFont="1" applyFill="1" applyBorder="1" applyAlignment="1">
      <alignment horizontal="left" vertical="center"/>
    </xf>
    <xf numFmtId="0" fontId="10" fillId="0" borderId="0" xfId="0" applyFont="1" applyAlignment="1">
      <alignment horizontal="left" vertical="center"/>
    </xf>
    <xf numFmtId="0" fontId="10" fillId="11" borderId="27" xfId="0" applyFont="1" applyFill="1" applyBorder="1" applyAlignment="1">
      <alignment horizontal="left" vertical="center"/>
    </xf>
    <xf numFmtId="0" fontId="17" fillId="0" borderId="0" xfId="0" applyFont="1"/>
    <xf numFmtId="164" fontId="3" fillId="0" borderId="0" xfId="0" applyNumberFormat="1" applyFont="1" applyAlignment="1">
      <alignment horizontal="center" vertical="center"/>
    </xf>
    <xf numFmtId="10" fontId="3" fillId="0" borderId="0" xfId="0" applyNumberFormat="1" applyFont="1" applyAlignment="1">
      <alignment horizontal="center" vertical="center"/>
    </xf>
    <xf numFmtId="0" fontId="10" fillId="10" borderId="27" xfId="0" applyFont="1" applyFill="1" applyBorder="1"/>
    <xf numFmtId="164" fontId="12" fillId="10" borderId="27" xfId="0" applyNumberFormat="1" applyFont="1" applyFill="1" applyBorder="1" applyAlignment="1">
      <alignment horizontal="center" vertical="center"/>
    </xf>
    <xf numFmtId="10" fontId="10" fillId="10" borderId="3" xfId="0" applyNumberFormat="1" applyFont="1" applyFill="1" applyBorder="1" applyAlignment="1">
      <alignment horizontal="center" vertical="center"/>
    </xf>
    <xf numFmtId="0" fontId="14" fillId="13" borderId="0" xfId="0" applyFont="1" applyFill="1" applyAlignment="1">
      <alignment horizontal="left"/>
    </xf>
    <xf numFmtId="0" fontId="10" fillId="13" borderId="0" xfId="0" applyFont="1" applyFill="1" applyAlignment="1">
      <alignment horizontal="center"/>
    </xf>
    <xf numFmtId="164" fontId="3" fillId="13" borderId="0" xfId="0" applyNumberFormat="1" applyFont="1" applyFill="1" applyAlignment="1">
      <alignment horizontal="center"/>
    </xf>
    <xf numFmtId="0" fontId="10" fillId="14" borderId="17" xfId="0" applyFont="1" applyFill="1" applyBorder="1" applyAlignment="1">
      <alignment horizontal="left" vertical="center" wrapText="1" shrinkToFit="1"/>
    </xf>
    <xf numFmtId="0" fontId="3" fillId="15" borderId="31" xfId="0" applyFont="1" applyFill="1" applyBorder="1" applyAlignment="1">
      <alignment horizontal="left" indent="1"/>
    </xf>
    <xf numFmtId="164" fontId="16" fillId="15" borderId="32" xfId="1" applyNumberFormat="1" applyFont="1" applyFill="1" applyBorder="1" applyAlignment="1">
      <alignment horizontal="center" vertical="center"/>
    </xf>
    <xf numFmtId="0" fontId="10" fillId="14" borderId="23" xfId="0" applyFont="1" applyFill="1" applyBorder="1" applyAlignment="1">
      <alignment horizontal="left" vertical="center" wrapText="1" shrinkToFit="1"/>
    </xf>
    <xf numFmtId="0" fontId="3" fillId="15" borderId="33" xfId="0" applyFont="1" applyFill="1" applyBorder="1" applyAlignment="1">
      <alignment horizontal="left" indent="1"/>
    </xf>
    <xf numFmtId="164" fontId="16" fillId="15" borderId="34" xfId="1" applyNumberFormat="1" applyFont="1" applyFill="1" applyBorder="1" applyAlignment="1">
      <alignment horizontal="center" vertical="center"/>
    </xf>
    <xf numFmtId="0" fontId="10" fillId="14" borderId="17" xfId="0" applyFont="1" applyFill="1" applyBorder="1" applyAlignment="1">
      <alignment horizontal="left"/>
    </xf>
    <xf numFmtId="164" fontId="12" fillId="14" borderId="4" xfId="1" applyNumberFormat="1" applyFont="1" applyFill="1" applyBorder="1" applyAlignment="1">
      <alignment horizontal="center" vertical="center"/>
    </xf>
    <xf numFmtId="10" fontId="10" fillId="14" borderId="17" xfId="1" applyNumberFormat="1" applyFont="1" applyFill="1" applyBorder="1" applyAlignment="1">
      <alignment horizontal="center" vertical="center"/>
    </xf>
    <xf numFmtId="10" fontId="10" fillId="14" borderId="3" xfId="1" applyNumberFormat="1" applyFont="1" applyFill="1" applyBorder="1" applyAlignment="1">
      <alignment horizontal="center" vertical="center"/>
    </xf>
    <xf numFmtId="0" fontId="10" fillId="14" borderId="4" xfId="0" applyFont="1" applyFill="1" applyBorder="1" applyAlignment="1">
      <alignment horizontal="left" vertical="center"/>
    </xf>
    <xf numFmtId="0" fontId="3" fillId="15" borderId="18" xfId="0" applyFont="1" applyFill="1" applyBorder="1" applyAlignment="1">
      <alignment horizontal="left" indent="1"/>
    </xf>
    <xf numFmtId="164" fontId="16" fillId="15" borderId="12" xfId="1" applyNumberFormat="1" applyFont="1" applyFill="1" applyBorder="1" applyAlignment="1">
      <alignment horizontal="center" vertical="center"/>
    </xf>
    <xf numFmtId="10" fontId="3" fillId="0" borderId="18" xfId="1" applyNumberFormat="1" applyFont="1" applyFill="1" applyBorder="1" applyAlignment="1">
      <alignment horizontal="center" vertical="center"/>
    </xf>
    <xf numFmtId="0" fontId="10" fillId="14" borderId="7" xfId="0" applyFont="1" applyFill="1" applyBorder="1" applyAlignment="1">
      <alignment horizontal="left" vertical="center"/>
    </xf>
    <xf numFmtId="0" fontId="3" fillId="15" borderId="24" xfId="0" applyFont="1" applyFill="1" applyBorder="1" applyAlignment="1">
      <alignment horizontal="left" indent="1"/>
    </xf>
    <xf numFmtId="164" fontId="16" fillId="15" borderId="14" xfId="1" applyNumberFormat="1" applyFont="1" applyFill="1" applyBorder="1" applyAlignment="1">
      <alignment horizontal="center" vertical="center"/>
    </xf>
    <xf numFmtId="10" fontId="3" fillId="0" borderId="24" xfId="1" applyNumberFormat="1" applyFont="1" applyFill="1" applyBorder="1" applyAlignment="1">
      <alignment horizontal="center" vertical="center"/>
    </xf>
    <xf numFmtId="0" fontId="10" fillId="14" borderId="23" xfId="0" applyFont="1" applyFill="1" applyBorder="1" applyAlignment="1">
      <alignment horizontal="left"/>
    </xf>
    <xf numFmtId="164" fontId="12" fillId="14" borderId="7" xfId="1" applyNumberFormat="1" applyFont="1" applyFill="1" applyBorder="1" applyAlignment="1">
      <alignment horizontal="center" vertical="center"/>
    </xf>
    <xf numFmtId="0" fontId="10" fillId="14" borderId="4" xfId="0" applyFont="1" applyFill="1" applyBorder="1" applyAlignment="1">
      <alignment horizontal="left" vertical="center" wrapText="1" shrinkToFit="1"/>
    </xf>
    <xf numFmtId="0" fontId="3" fillId="15" borderId="35" xfId="0" applyFont="1" applyFill="1" applyBorder="1" applyAlignment="1">
      <alignment horizontal="left" indent="1"/>
    </xf>
    <xf numFmtId="164" fontId="16" fillId="15" borderId="36" xfId="1" applyNumberFormat="1" applyFont="1" applyFill="1" applyBorder="1" applyAlignment="1">
      <alignment horizontal="center" vertical="center"/>
    </xf>
    <xf numFmtId="0" fontId="10" fillId="14" borderId="7" xfId="0" applyFont="1" applyFill="1" applyBorder="1" applyAlignment="1">
      <alignment horizontal="left" vertical="center" wrapText="1" shrinkToFit="1"/>
    </xf>
    <xf numFmtId="0" fontId="3" fillId="15" borderId="37" xfId="0" applyFont="1" applyFill="1" applyBorder="1" applyAlignment="1">
      <alignment horizontal="left" indent="1"/>
    </xf>
    <xf numFmtId="0" fontId="10" fillId="14" borderId="3" xfId="0" applyFont="1" applyFill="1" applyBorder="1" applyAlignment="1">
      <alignment horizontal="left"/>
    </xf>
    <xf numFmtId="164" fontId="12" fillId="14" borderId="13" xfId="1" applyNumberFormat="1" applyFont="1" applyFill="1" applyBorder="1" applyAlignment="1">
      <alignment horizontal="center" vertical="center"/>
    </xf>
    <xf numFmtId="0" fontId="10" fillId="13" borderId="3" xfId="0" applyFont="1" applyFill="1" applyBorder="1"/>
    <xf numFmtId="164" fontId="12" fillId="13" borderId="13" xfId="1" applyNumberFormat="1" applyFont="1" applyFill="1" applyBorder="1" applyAlignment="1">
      <alignment horizontal="center" vertical="center"/>
    </xf>
    <xf numFmtId="10" fontId="10" fillId="13" borderId="3" xfId="1" applyNumberFormat="1" applyFont="1" applyFill="1" applyBorder="1" applyAlignment="1">
      <alignment horizontal="center" vertical="center"/>
    </xf>
    <xf numFmtId="0" fontId="14" fillId="16" borderId="0" xfId="0" applyFont="1" applyFill="1" applyAlignment="1">
      <alignment horizontal="left"/>
    </xf>
    <xf numFmtId="0" fontId="14" fillId="16" borderId="0" xfId="0" applyFont="1" applyFill="1" applyAlignment="1">
      <alignment horizontal="center"/>
    </xf>
    <xf numFmtId="164" fontId="3" fillId="16" borderId="0" xfId="0" applyNumberFormat="1" applyFont="1" applyFill="1" applyAlignment="1">
      <alignment horizontal="center"/>
    </xf>
    <xf numFmtId="0" fontId="10" fillId="17" borderId="38" xfId="0" applyFont="1" applyFill="1" applyBorder="1" applyAlignment="1">
      <alignment horizontal="left" vertical="center" wrapText="1" shrinkToFit="1"/>
    </xf>
    <xf numFmtId="0" fontId="3" fillId="18" borderId="39" xfId="0" applyFont="1" applyFill="1" applyBorder="1" applyAlignment="1">
      <alignment horizontal="left" indent="1"/>
    </xf>
    <xf numFmtId="164" fontId="16" fillId="18" borderId="32" xfId="1" applyNumberFormat="1" applyFont="1" applyFill="1" applyBorder="1" applyAlignment="1">
      <alignment horizontal="center"/>
    </xf>
    <xf numFmtId="10" fontId="3" fillId="0" borderId="18" xfId="1" applyNumberFormat="1" applyFont="1" applyBorder="1" applyAlignment="1">
      <alignment horizontal="center"/>
    </xf>
    <xf numFmtId="10" fontId="3" fillId="0" borderId="0" xfId="1" applyNumberFormat="1" applyFont="1" applyFill="1" applyBorder="1" applyAlignment="1">
      <alignment horizontal="center"/>
    </xf>
    <xf numFmtId="0" fontId="10" fillId="17" borderId="40" xfId="0" applyFont="1" applyFill="1" applyBorder="1" applyAlignment="1">
      <alignment horizontal="left" vertical="center" wrapText="1" shrinkToFit="1"/>
    </xf>
    <xf numFmtId="0" fontId="3" fillId="18" borderId="41" xfId="0" applyFont="1" applyFill="1" applyBorder="1" applyAlignment="1">
      <alignment horizontal="left" indent="1"/>
    </xf>
    <xf numFmtId="164" fontId="16" fillId="18" borderId="42" xfId="1" applyNumberFormat="1" applyFont="1" applyFill="1" applyBorder="1" applyAlignment="1">
      <alignment horizontal="center"/>
    </xf>
    <xf numFmtId="10" fontId="3" fillId="0" borderId="22" xfId="1" applyNumberFormat="1" applyFont="1" applyBorder="1" applyAlignment="1">
      <alignment horizontal="center"/>
    </xf>
    <xf numFmtId="0" fontId="10" fillId="17" borderId="43" xfId="0" applyFont="1" applyFill="1" applyBorder="1" applyAlignment="1">
      <alignment horizontal="left" vertical="center" wrapText="1" shrinkToFit="1"/>
    </xf>
    <xf numFmtId="0" fontId="3" fillId="18" borderId="44" xfId="0" applyFont="1" applyFill="1" applyBorder="1" applyAlignment="1">
      <alignment horizontal="left" indent="1"/>
    </xf>
    <xf numFmtId="164" fontId="16" fillId="18" borderId="34" xfId="1" applyNumberFormat="1" applyFont="1" applyFill="1" applyBorder="1" applyAlignment="1">
      <alignment horizontal="center"/>
    </xf>
    <xf numFmtId="10" fontId="3" fillId="0" borderId="24" xfId="1" applyNumberFormat="1" applyFont="1" applyBorder="1" applyAlignment="1">
      <alignment horizontal="center"/>
    </xf>
    <xf numFmtId="0" fontId="3" fillId="0" borderId="0" xfId="0" applyFont="1" applyAlignment="1">
      <alignment vertical="center" wrapText="1" shrinkToFit="1"/>
    </xf>
    <xf numFmtId="0" fontId="10" fillId="17" borderId="3" xfId="0" applyFont="1" applyFill="1" applyBorder="1" applyAlignment="1">
      <alignment horizontal="left"/>
    </xf>
    <xf numFmtId="164" fontId="12" fillId="17" borderId="1" xfId="1" applyNumberFormat="1" applyFont="1" applyFill="1" applyBorder="1" applyAlignment="1">
      <alignment horizontal="center"/>
    </xf>
    <xf numFmtId="10" fontId="10" fillId="17" borderId="3" xfId="1" applyNumberFormat="1" applyFont="1" applyFill="1" applyBorder="1" applyAlignment="1">
      <alignment horizontal="center"/>
    </xf>
    <xf numFmtId="10" fontId="10" fillId="0" borderId="0" xfId="1" applyNumberFormat="1" applyFont="1" applyFill="1" applyBorder="1" applyAlignment="1">
      <alignment horizontal="center"/>
    </xf>
    <xf numFmtId="0" fontId="10" fillId="17" borderId="45" xfId="0" applyFont="1" applyFill="1" applyBorder="1" applyAlignment="1">
      <alignment horizontal="left" vertical="center" wrapText="1" shrinkToFit="1"/>
    </xf>
    <xf numFmtId="0" fontId="3" fillId="18" borderId="46" xfId="0" applyFont="1" applyFill="1" applyBorder="1" applyAlignment="1">
      <alignment horizontal="left" indent="1"/>
    </xf>
    <xf numFmtId="164" fontId="16" fillId="18" borderId="47" xfId="1" applyNumberFormat="1" applyFont="1" applyFill="1" applyBorder="1" applyAlignment="1">
      <alignment horizontal="center"/>
    </xf>
    <xf numFmtId="0" fontId="10" fillId="17" borderId="48" xfId="0" applyFont="1" applyFill="1" applyBorder="1" applyAlignment="1">
      <alignment horizontal="left" vertical="center" wrapText="1" shrinkToFit="1"/>
    </xf>
    <xf numFmtId="0" fontId="3" fillId="18" borderId="49" xfId="0" applyFont="1" applyFill="1" applyBorder="1" applyAlignment="1">
      <alignment horizontal="left" indent="1"/>
    </xf>
    <xf numFmtId="164" fontId="16" fillId="18" borderId="50" xfId="1" applyNumberFormat="1" applyFont="1" applyFill="1" applyBorder="1" applyAlignment="1">
      <alignment horizontal="center"/>
    </xf>
    <xf numFmtId="164" fontId="16" fillId="18" borderId="51" xfId="1" applyNumberFormat="1" applyFont="1" applyFill="1" applyBorder="1" applyAlignment="1">
      <alignment horizontal="center"/>
    </xf>
    <xf numFmtId="0" fontId="10" fillId="17" borderId="52" xfId="0" applyFont="1" applyFill="1" applyBorder="1" applyAlignment="1">
      <alignment horizontal="left" vertical="center" wrapText="1" shrinkToFit="1"/>
    </xf>
    <xf numFmtId="0" fontId="3" fillId="18" borderId="53" xfId="0" applyFont="1" applyFill="1" applyBorder="1" applyAlignment="1">
      <alignment horizontal="left" indent="1"/>
    </xf>
    <xf numFmtId="0" fontId="10" fillId="19" borderId="0" xfId="0" applyFont="1" applyFill="1" applyAlignment="1">
      <alignment vertical="center" wrapText="1" shrinkToFit="1"/>
    </xf>
    <xf numFmtId="0" fontId="10" fillId="16" borderId="27" xfId="0" applyFont="1" applyFill="1" applyBorder="1"/>
    <xf numFmtId="164" fontId="12" fillId="16" borderId="27" xfId="0" applyNumberFormat="1" applyFont="1" applyFill="1" applyBorder="1" applyAlignment="1">
      <alignment horizontal="center" vertical="center"/>
    </xf>
    <xf numFmtId="10" fontId="10" fillId="16" borderId="3" xfId="0" applyNumberFormat="1" applyFont="1" applyFill="1" applyBorder="1" applyAlignment="1">
      <alignment horizontal="center" vertical="center"/>
    </xf>
    <xf numFmtId="0" fontId="14" fillId="20" borderId="0" xfId="0" applyFont="1" applyFill="1" applyAlignment="1">
      <alignment horizontal="left"/>
    </xf>
    <xf numFmtId="0" fontId="14" fillId="20" borderId="0" xfId="0" applyFont="1" applyFill="1" applyAlignment="1">
      <alignment horizontal="center"/>
    </xf>
    <xf numFmtId="164" fontId="3" fillId="20" borderId="0" xfId="0" applyNumberFormat="1" applyFont="1" applyFill="1" applyAlignment="1">
      <alignment horizontal="center"/>
    </xf>
    <xf numFmtId="0" fontId="10" fillId="21" borderId="38" xfId="0" applyFont="1" applyFill="1" applyBorder="1" applyAlignment="1">
      <alignment horizontal="left" vertical="center" wrapText="1" shrinkToFit="1"/>
    </xf>
    <xf numFmtId="0" fontId="3" fillId="22" borderId="39" xfId="0" applyFont="1" applyFill="1" applyBorder="1" applyAlignment="1">
      <alignment horizontal="left" indent="1"/>
    </xf>
    <xf numFmtId="164" fontId="16" fillId="22" borderId="54" xfId="1" applyNumberFormat="1" applyFont="1" applyFill="1" applyBorder="1" applyAlignment="1">
      <alignment horizontal="center" vertical="center"/>
    </xf>
    <xf numFmtId="0" fontId="10" fillId="21" borderId="40" xfId="0" applyFont="1" applyFill="1" applyBorder="1" applyAlignment="1">
      <alignment horizontal="left" vertical="center" wrapText="1" shrinkToFit="1"/>
    </xf>
    <xf numFmtId="0" fontId="3" fillId="22" borderId="41" xfId="0" applyFont="1" applyFill="1" applyBorder="1" applyAlignment="1">
      <alignment horizontal="left" indent="1"/>
    </xf>
    <xf numFmtId="164" fontId="16" fillId="22" borderId="50" xfId="1" applyNumberFormat="1" applyFont="1" applyFill="1" applyBorder="1" applyAlignment="1">
      <alignment horizontal="center" vertical="center"/>
    </xf>
    <xf numFmtId="0" fontId="10" fillId="21" borderId="43" xfId="0" applyFont="1" applyFill="1" applyBorder="1" applyAlignment="1">
      <alignment horizontal="left" vertical="center" wrapText="1" shrinkToFit="1"/>
    </xf>
    <xf numFmtId="0" fontId="3" fillId="22" borderId="30" xfId="0" applyFont="1" applyFill="1" applyBorder="1" applyAlignment="1">
      <alignment horizontal="left" indent="1"/>
    </xf>
    <xf numFmtId="164" fontId="16" fillId="22" borderId="0" xfId="1" applyNumberFormat="1" applyFont="1" applyFill="1" applyBorder="1" applyAlignment="1">
      <alignment horizontal="center" vertical="center"/>
    </xf>
    <xf numFmtId="0" fontId="10" fillId="0" borderId="0" xfId="0" applyFont="1" applyAlignment="1">
      <alignment horizontal="center" vertical="center" wrapText="1" shrinkToFit="1"/>
    </xf>
    <xf numFmtId="0" fontId="10" fillId="21" borderId="17" xfId="0" applyFont="1" applyFill="1" applyBorder="1" applyAlignment="1">
      <alignment horizontal="left"/>
    </xf>
    <xf numFmtId="164" fontId="12" fillId="21" borderId="4" xfId="0" applyNumberFormat="1" applyFont="1" applyFill="1" applyBorder="1" applyAlignment="1">
      <alignment horizontal="center" vertical="center"/>
    </xf>
    <xf numFmtId="10" fontId="10" fillId="21" borderId="17" xfId="0" applyNumberFormat="1" applyFont="1" applyFill="1" applyBorder="1" applyAlignment="1">
      <alignment horizontal="center" vertical="center"/>
    </xf>
    <xf numFmtId="0" fontId="10" fillId="21" borderId="27" xfId="0" applyFont="1" applyFill="1" applyBorder="1" applyAlignment="1">
      <alignment vertical="center"/>
    </xf>
    <xf numFmtId="0" fontId="3" fillId="22" borderId="18" xfId="0" applyFont="1" applyFill="1" applyBorder="1" applyAlignment="1">
      <alignment horizontal="left" indent="1"/>
    </xf>
    <xf numFmtId="164" fontId="16" fillId="22" borderId="18" xfId="1" applyNumberFormat="1" applyFont="1" applyFill="1" applyBorder="1" applyAlignment="1">
      <alignment horizontal="center" vertical="center"/>
    </xf>
    <xf numFmtId="0" fontId="3" fillId="22" borderId="24" xfId="0" applyFont="1" applyFill="1" applyBorder="1" applyAlignment="1">
      <alignment horizontal="left" indent="1"/>
    </xf>
    <xf numFmtId="164" fontId="16" fillId="22" borderId="24" xfId="1" applyNumberFormat="1" applyFont="1" applyFill="1" applyBorder="1" applyAlignment="1">
      <alignment horizontal="center" vertical="center"/>
    </xf>
    <xf numFmtId="0" fontId="10" fillId="21" borderId="23" xfId="0" applyFont="1" applyFill="1" applyBorder="1" applyAlignment="1">
      <alignment horizontal="left"/>
    </xf>
    <xf numFmtId="164" fontId="12" fillId="21" borderId="7" xfId="0" applyNumberFormat="1" applyFont="1" applyFill="1" applyBorder="1" applyAlignment="1">
      <alignment horizontal="center" vertical="center"/>
    </xf>
    <xf numFmtId="10" fontId="10" fillId="21" borderId="23" xfId="0" applyNumberFormat="1" applyFont="1" applyFill="1" applyBorder="1" applyAlignment="1">
      <alignment horizontal="center" vertical="center"/>
    </xf>
    <xf numFmtId="0" fontId="10" fillId="20" borderId="27" xfId="0" applyFont="1" applyFill="1" applyBorder="1"/>
    <xf numFmtId="164" fontId="12" fillId="20" borderId="27" xfId="0" applyNumberFormat="1" applyFont="1" applyFill="1" applyBorder="1" applyAlignment="1">
      <alignment horizontal="center" vertical="center"/>
    </xf>
    <xf numFmtId="10" fontId="10" fillId="20" borderId="3" xfId="0" applyNumberFormat="1" applyFont="1" applyFill="1" applyBorder="1" applyAlignment="1">
      <alignment horizontal="center" vertical="center"/>
    </xf>
    <xf numFmtId="164" fontId="3" fillId="0" borderId="0" xfId="0" applyNumberFormat="1" applyFont="1" applyAlignment="1">
      <alignment horizontal="center"/>
    </xf>
    <xf numFmtId="10" fontId="3" fillId="0" borderId="0" xfId="0" applyNumberFormat="1" applyFont="1" applyAlignment="1">
      <alignment horizontal="center"/>
    </xf>
    <xf numFmtId="0" fontId="10" fillId="23" borderId="0" xfId="0" applyFont="1" applyFill="1" applyAlignment="1">
      <alignment horizontal="left"/>
    </xf>
    <xf numFmtId="0" fontId="10" fillId="23" borderId="0" xfId="0" applyFont="1" applyFill="1" applyAlignment="1">
      <alignment horizontal="center"/>
    </xf>
    <xf numFmtId="164" fontId="3" fillId="23" borderId="0" xfId="0" applyNumberFormat="1" applyFont="1" applyFill="1" applyAlignment="1">
      <alignment horizontal="center"/>
    </xf>
    <xf numFmtId="0" fontId="10" fillId="24" borderId="28" xfId="0" applyFont="1" applyFill="1" applyBorder="1" applyAlignment="1">
      <alignment horizontal="left" vertical="center" wrapText="1" shrinkToFit="1"/>
    </xf>
    <xf numFmtId="0" fontId="3" fillId="25" borderId="55" xfId="0" applyFont="1" applyFill="1" applyBorder="1" applyAlignment="1">
      <alignment horizontal="left" indent="1"/>
    </xf>
    <xf numFmtId="164" fontId="16" fillId="25" borderId="1" xfId="1" applyNumberFormat="1" applyFont="1" applyFill="1" applyBorder="1" applyAlignment="1">
      <alignment horizontal="center" vertical="center"/>
    </xf>
    <xf numFmtId="0" fontId="10" fillId="24" borderId="3" xfId="0" applyFont="1" applyFill="1" applyBorder="1" applyAlignment="1">
      <alignment horizontal="left"/>
    </xf>
    <xf numFmtId="164" fontId="12" fillId="24" borderId="1" xfId="0" applyNumberFormat="1" applyFont="1" applyFill="1" applyBorder="1" applyAlignment="1">
      <alignment horizontal="center" vertical="center"/>
    </xf>
    <xf numFmtId="10" fontId="10" fillId="24" borderId="3" xfId="0" applyNumberFormat="1" applyFont="1" applyFill="1" applyBorder="1" applyAlignment="1">
      <alignment horizontal="center" vertical="center"/>
    </xf>
    <xf numFmtId="0" fontId="10" fillId="23" borderId="27" xfId="0" applyFont="1" applyFill="1" applyBorder="1"/>
    <xf numFmtId="164" fontId="12" fillId="23" borderId="27" xfId="0" applyNumberFormat="1" applyFont="1" applyFill="1" applyBorder="1" applyAlignment="1">
      <alignment horizontal="center" vertical="center"/>
    </xf>
    <xf numFmtId="10" fontId="10" fillId="23" borderId="3" xfId="0" applyNumberFormat="1" applyFont="1" applyFill="1" applyBorder="1" applyAlignment="1">
      <alignment horizontal="center" vertical="center"/>
    </xf>
    <xf numFmtId="0" fontId="0" fillId="0" borderId="0" xfId="0" applyAlignment="1">
      <alignment horizontal="center"/>
    </xf>
    <xf numFmtId="0" fontId="18" fillId="2" borderId="45" xfId="0" applyFont="1" applyFill="1" applyBorder="1" applyAlignment="1">
      <alignment horizontal="center" vertical="center"/>
    </xf>
    <xf numFmtId="0" fontId="18" fillId="2" borderId="29" xfId="0" applyFont="1" applyFill="1" applyBorder="1" applyAlignment="1">
      <alignment horizontal="center" vertical="center"/>
    </xf>
    <xf numFmtId="10" fontId="18" fillId="2" borderId="55" xfId="0" applyNumberFormat="1" applyFont="1" applyFill="1" applyBorder="1" applyAlignment="1">
      <alignment horizontal="center" vertical="center"/>
    </xf>
    <xf numFmtId="10" fontId="19" fillId="2" borderId="17" xfId="0" applyNumberFormat="1" applyFont="1" applyFill="1" applyBorder="1" applyAlignment="1">
      <alignment horizontal="center" vertical="center"/>
    </xf>
    <xf numFmtId="10" fontId="19" fillId="0" borderId="0" xfId="0" applyNumberFormat="1" applyFont="1" applyAlignment="1">
      <alignment horizontal="center" vertical="center"/>
    </xf>
    <xf numFmtId="10" fontId="20" fillId="26" borderId="17" xfId="0" applyNumberFormat="1" applyFont="1" applyFill="1" applyBorder="1" applyAlignment="1">
      <alignment horizontal="center" vertical="center"/>
    </xf>
    <xf numFmtId="10" fontId="4" fillId="2" borderId="17" xfId="0" applyNumberFormat="1" applyFont="1" applyFill="1" applyBorder="1" applyAlignment="1">
      <alignment horizontal="center" vertical="center"/>
    </xf>
    <xf numFmtId="0" fontId="18" fillId="2" borderId="52" xfId="0" applyFont="1" applyFill="1" applyBorder="1" applyAlignment="1">
      <alignment horizontal="center" vertical="center"/>
    </xf>
    <xf numFmtId="0" fontId="18" fillId="2" borderId="56" xfId="0" applyFont="1" applyFill="1" applyBorder="1" applyAlignment="1">
      <alignment horizontal="center" vertical="center"/>
    </xf>
    <xf numFmtId="10" fontId="18" fillId="2" borderId="57" xfId="0" applyNumberFormat="1" applyFont="1" applyFill="1" applyBorder="1" applyAlignment="1">
      <alignment horizontal="center" vertical="center"/>
    </xf>
    <xf numFmtId="10" fontId="19" fillId="2" borderId="23" xfId="0" applyNumberFormat="1" applyFont="1" applyFill="1" applyBorder="1" applyAlignment="1">
      <alignment horizontal="center" vertical="center"/>
    </xf>
    <xf numFmtId="10" fontId="20" fillId="26" borderId="23" xfId="0" applyNumberFormat="1" applyFont="1" applyFill="1" applyBorder="1" applyAlignment="1">
      <alignment horizontal="center" vertical="center"/>
    </xf>
    <xf numFmtId="10" fontId="4" fillId="2" borderId="23" xfId="0" applyNumberFormat="1" applyFont="1" applyFill="1" applyBorder="1" applyAlignment="1">
      <alignment horizontal="center" vertical="center"/>
    </xf>
    <xf numFmtId="0" fontId="0" fillId="26" borderId="58" xfId="0" applyFill="1" applyBorder="1" applyAlignment="1">
      <alignment horizontal="center" wrapText="1"/>
    </xf>
    <xf numFmtId="0" fontId="0" fillId="26" borderId="59" xfId="0" applyFill="1" applyBorder="1" applyAlignment="1">
      <alignment horizontal="center" wrapText="1"/>
    </xf>
    <xf numFmtId="0" fontId="0" fillId="26" borderId="60" xfId="0" applyFill="1" applyBorder="1" applyAlignment="1">
      <alignment horizontal="center" wrapText="1"/>
    </xf>
    <xf numFmtId="0" fontId="0" fillId="27" borderId="1" xfId="0" applyFill="1" applyBorder="1"/>
    <xf numFmtId="0" fontId="21" fillId="27" borderId="13" xfId="0" applyFont="1" applyFill="1" applyBorder="1" applyAlignment="1">
      <alignment horizontal="center" vertical="center"/>
    </xf>
    <xf numFmtId="0" fontId="21" fillId="27" borderId="2" xfId="0" applyFont="1" applyFill="1" applyBorder="1" applyAlignment="1">
      <alignment horizontal="center" vertical="center"/>
    </xf>
    <xf numFmtId="0" fontId="21" fillId="27" borderId="18" xfId="0" applyFont="1" applyFill="1" applyBorder="1" applyAlignment="1">
      <alignment horizontal="left" vertical="center"/>
    </xf>
    <xf numFmtId="0" fontId="10" fillId="27" borderId="3" xfId="0" applyFont="1" applyFill="1" applyBorder="1" applyAlignment="1">
      <alignment vertical="center"/>
    </xf>
    <xf numFmtId="9" fontId="10" fillId="27" borderId="3" xfId="1" applyFont="1" applyFill="1" applyBorder="1" applyAlignment="1">
      <alignment horizontal="center" vertical="center"/>
    </xf>
    <xf numFmtId="0" fontId="21" fillId="27" borderId="24" xfId="0" applyFont="1" applyFill="1" applyBorder="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F73C-1D66-804C-9FA2-E6C3E3A4A90B}">
  <dimension ref="B1:S103"/>
  <sheetViews>
    <sheetView tabSelected="1" topLeftCell="A11" zoomScale="87" workbookViewId="0">
      <selection activeCell="D89" sqref="D89"/>
    </sheetView>
  </sheetViews>
  <sheetFormatPr baseColWidth="10" defaultColWidth="11.5" defaultRowHeight="16"/>
  <cols>
    <col min="1" max="1" width="5.33203125" customWidth="1"/>
    <col min="2" max="2" width="25" customWidth="1"/>
    <col min="3" max="3" width="72.5" bestFit="1" customWidth="1"/>
    <col min="4" max="5" width="16.83203125" customWidth="1"/>
    <col min="6" max="6" width="4.83203125" customWidth="1"/>
    <col min="7" max="8" width="16.83203125" customWidth="1"/>
    <col min="9" max="9" width="9.1640625" customWidth="1"/>
  </cols>
  <sheetData>
    <row r="1" spans="2:15" ht="36" customHeight="1" thickBot="1">
      <c r="B1" s="1" t="s">
        <v>0</v>
      </c>
      <c r="C1" s="2"/>
      <c r="D1" s="3" t="s">
        <v>1</v>
      </c>
      <c r="E1" s="3" t="s">
        <v>1</v>
      </c>
      <c r="F1" s="3"/>
      <c r="G1" s="3" t="s">
        <v>1</v>
      </c>
      <c r="H1" s="3" t="s">
        <v>1</v>
      </c>
    </row>
    <row r="2" spans="2:15" ht="15" customHeight="1" thickBot="1">
      <c r="B2" s="4"/>
      <c r="C2" s="5"/>
      <c r="D2" s="4"/>
      <c r="E2" s="4"/>
      <c r="F2" s="4"/>
      <c r="G2" s="4"/>
      <c r="H2" s="4"/>
    </row>
    <row r="3" spans="2:15" ht="15" customHeight="1" thickBot="1">
      <c r="B3" s="6" t="s">
        <v>2</v>
      </c>
      <c r="C3" s="7"/>
      <c r="D3" s="7"/>
      <c r="E3" s="7"/>
      <c r="F3" s="7"/>
      <c r="G3" s="7"/>
      <c r="H3" s="8"/>
    </row>
    <row r="4" spans="2:15" ht="18" customHeight="1" thickBot="1">
      <c r="B4" s="9"/>
      <c r="C4" s="10"/>
      <c r="D4" s="10"/>
      <c r="E4" s="10"/>
      <c r="F4" s="10"/>
      <c r="G4" s="10"/>
      <c r="H4" s="11"/>
      <c r="J4" s="12" t="s">
        <v>3</v>
      </c>
      <c r="K4" s="13"/>
      <c r="L4" s="13"/>
      <c r="M4" s="13"/>
      <c r="N4" s="14"/>
      <c r="O4" s="15"/>
    </row>
    <row r="5" spans="2:15" ht="17" thickBot="1">
      <c r="B5" s="4"/>
      <c r="C5" s="5"/>
      <c r="D5" s="4"/>
      <c r="E5" s="4"/>
      <c r="F5" s="4"/>
      <c r="G5" s="4"/>
      <c r="H5" s="4"/>
      <c r="J5" s="16"/>
      <c r="K5" s="17"/>
      <c r="L5" s="17"/>
      <c r="M5" s="17"/>
      <c r="N5" s="18"/>
      <c r="O5" s="15"/>
    </row>
    <row r="6" spans="2:15" ht="22" customHeight="1" thickBot="1">
      <c r="B6" s="19"/>
      <c r="C6" s="20" t="s">
        <v>4</v>
      </c>
      <c r="D6" s="21"/>
      <c r="E6" s="22"/>
      <c r="F6" s="22"/>
      <c r="G6" s="23"/>
      <c r="H6" s="23"/>
      <c r="J6" s="16"/>
      <c r="K6" s="17"/>
      <c r="L6" s="17"/>
      <c r="M6" s="17"/>
      <c r="N6" s="18"/>
      <c r="O6" s="15"/>
    </row>
    <row r="7" spans="2:15" ht="10" customHeight="1" thickBot="1">
      <c r="D7" s="4"/>
      <c r="E7" s="4"/>
      <c r="F7" s="4"/>
      <c r="G7" s="24"/>
      <c r="H7" s="4"/>
      <c r="J7" s="16"/>
      <c r="K7" s="17"/>
      <c r="L7" s="17"/>
      <c r="M7" s="17"/>
      <c r="N7" s="18"/>
      <c r="O7" s="15"/>
    </row>
    <row r="8" spans="2:15" ht="22" customHeight="1" thickBot="1">
      <c r="B8" s="25" t="s">
        <v>5</v>
      </c>
      <c r="C8" s="26" t="s">
        <v>6</v>
      </c>
      <c r="D8" s="27"/>
      <c r="E8" s="28"/>
      <c r="F8" s="28"/>
      <c r="G8" s="24"/>
      <c r="H8" s="24"/>
      <c r="J8" s="16"/>
      <c r="K8" s="17"/>
      <c r="L8" s="17"/>
      <c r="M8" s="17"/>
      <c r="N8" s="18"/>
      <c r="O8" s="15"/>
    </row>
    <row r="9" spans="2:15" ht="22" customHeight="1" thickBot="1">
      <c r="B9" s="29"/>
      <c r="C9" s="26" t="s">
        <v>7</v>
      </c>
      <c r="D9" s="27">
        <f>1-D8</f>
        <v>1</v>
      </c>
      <c r="E9" s="4"/>
      <c r="F9" s="4"/>
      <c r="G9" s="4"/>
      <c r="H9" s="4"/>
      <c r="J9" s="16"/>
      <c r="K9" s="17"/>
      <c r="L9" s="17"/>
      <c r="M9" s="17"/>
      <c r="N9" s="18"/>
      <c r="O9" s="15"/>
    </row>
    <row r="10" spans="2:15" ht="10" customHeight="1" thickBot="1">
      <c r="B10" s="4"/>
      <c r="C10" s="30"/>
      <c r="D10" s="4"/>
      <c r="E10" s="31"/>
      <c r="F10" s="31"/>
      <c r="G10" s="32"/>
      <c r="H10" s="31"/>
      <c r="J10" s="16"/>
      <c r="K10" s="17"/>
      <c r="L10" s="17"/>
      <c r="M10" s="17"/>
      <c r="N10" s="18"/>
      <c r="O10" s="15"/>
    </row>
    <row r="11" spans="2:15" ht="22" customHeight="1" thickBot="1">
      <c r="B11" s="4"/>
      <c r="C11" s="33" t="s">
        <v>8</v>
      </c>
      <c r="D11" s="34">
        <f>D9+D8</f>
        <v>1</v>
      </c>
      <c r="J11" s="16"/>
      <c r="K11" s="17"/>
      <c r="L11" s="17"/>
      <c r="M11" s="17"/>
      <c r="N11" s="18"/>
      <c r="O11" s="15"/>
    </row>
    <row r="12" spans="2:15" ht="17" thickBot="1">
      <c r="B12" s="4"/>
      <c r="C12" s="5"/>
      <c r="D12" s="4"/>
      <c r="E12" s="4"/>
      <c r="F12" s="4"/>
      <c r="G12" s="4"/>
      <c r="H12" s="4"/>
      <c r="J12" s="16"/>
      <c r="K12" s="17"/>
      <c r="L12" s="17"/>
      <c r="M12" s="17"/>
      <c r="N12" s="18"/>
      <c r="O12" s="15"/>
    </row>
    <row r="13" spans="2:15" ht="60" customHeight="1" thickBot="1">
      <c r="B13" s="35" t="s">
        <v>9</v>
      </c>
      <c r="C13" s="36"/>
      <c r="D13" s="37" t="s">
        <v>10</v>
      </c>
      <c r="E13" s="37" t="s">
        <v>11</v>
      </c>
      <c r="F13" s="23"/>
      <c r="G13" s="37" t="s">
        <v>12</v>
      </c>
      <c r="H13" s="37" t="s">
        <v>13</v>
      </c>
      <c r="J13" s="38"/>
      <c r="K13" s="39"/>
      <c r="L13" s="39"/>
      <c r="M13" s="39"/>
      <c r="N13" s="40"/>
      <c r="O13" s="15"/>
    </row>
    <row r="14" spans="2:15">
      <c r="B14" s="4"/>
      <c r="C14" s="5"/>
      <c r="D14" s="4"/>
      <c r="E14" s="4"/>
      <c r="F14" s="4"/>
      <c r="G14" s="4"/>
      <c r="H14" s="4"/>
      <c r="J14" s="15"/>
      <c r="K14" s="15"/>
      <c r="L14" s="15"/>
      <c r="M14" s="15"/>
      <c r="N14" s="15"/>
      <c r="O14" s="15"/>
    </row>
    <row r="15" spans="2:15" ht="15" customHeight="1">
      <c r="B15" s="41">
        <v>1</v>
      </c>
      <c r="C15" s="41" t="s">
        <v>14</v>
      </c>
      <c r="D15" s="42" t="s">
        <v>15</v>
      </c>
      <c r="E15" s="42"/>
      <c r="F15" s="42"/>
      <c r="G15" s="42"/>
      <c r="H15" s="42"/>
      <c r="I15" s="43"/>
    </row>
    <row r="16" spans="2:15" ht="16" customHeight="1" thickBot="1">
      <c r="B16" s="4"/>
      <c r="C16" s="4"/>
      <c r="D16" s="4"/>
      <c r="E16" s="4"/>
      <c r="F16" s="4"/>
      <c r="G16" s="4"/>
      <c r="H16" s="4"/>
    </row>
    <row r="17" spans="2:19" ht="15" customHeight="1">
      <c r="B17" s="44" t="s">
        <v>16</v>
      </c>
      <c r="C17" s="45" t="s">
        <v>17</v>
      </c>
      <c r="D17" s="46"/>
      <c r="E17" s="47"/>
      <c r="F17" s="48"/>
      <c r="G17" s="47"/>
      <c r="H17" s="47"/>
      <c r="J17" s="12" t="s">
        <v>18</v>
      </c>
      <c r="K17" s="13"/>
      <c r="L17" s="13"/>
      <c r="M17" s="13"/>
      <c r="N17" s="14"/>
      <c r="O17" s="15"/>
    </row>
    <row r="18" spans="2:19">
      <c r="B18" s="49"/>
      <c r="C18" s="50" t="s">
        <v>19</v>
      </c>
      <c r="D18" s="51"/>
      <c r="E18" s="52"/>
      <c r="F18" s="48"/>
      <c r="G18" s="52"/>
      <c r="H18" s="52"/>
      <c r="J18" s="16"/>
      <c r="K18" s="17"/>
      <c r="L18" s="17"/>
      <c r="M18" s="17"/>
      <c r="N18" s="18"/>
      <c r="O18" s="15"/>
    </row>
    <row r="19" spans="2:19" ht="15" customHeight="1" thickBot="1">
      <c r="B19" s="53"/>
      <c r="C19" s="54" t="s">
        <v>20</v>
      </c>
      <c r="D19" s="55"/>
      <c r="E19" s="56"/>
      <c r="F19" s="48"/>
      <c r="G19" s="56"/>
      <c r="H19" s="56"/>
      <c r="I19" s="57"/>
      <c r="J19" s="16"/>
      <c r="K19" s="17"/>
      <c r="L19" s="17"/>
      <c r="M19" s="17"/>
      <c r="N19" s="18"/>
      <c r="O19" s="15"/>
      <c r="S19" s="15"/>
    </row>
    <row r="20" spans="2:19" ht="17" thickBot="1">
      <c r="C20" s="58" t="s">
        <v>21</v>
      </c>
      <c r="D20" s="59">
        <f>SUM(D17:D19)</f>
        <v>0</v>
      </c>
      <c r="E20" s="60"/>
      <c r="F20" s="61"/>
      <c r="G20" s="60">
        <f>G19+G18+G17</f>
        <v>0</v>
      </c>
      <c r="H20" s="62"/>
      <c r="J20" s="16"/>
      <c r="K20" s="17"/>
      <c r="L20" s="17"/>
      <c r="M20" s="17"/>
      <c r="N20" s="18"/>
      <c r="O20" s="15"/>
      <c r="S20" s="15"/>
    </row>
    <row r="21" spans="2:19" ht="17" thickBot="1">
      <c r="B21" s="63" t="s">
        <v>22</v>
      </c>
      <c r="C21" s="54" t="s">
        <v>23</v>
      </c>
      <c r="D21" s="64"/>
      <c r="E21" s="65"/>
      <c r="F21" s="48"/>
      <c r="G21" s="65"/>
      <c r="H21" s="65"/>
      <c r="J21" s="16"/>
      <c r="K21" s="17"/>
      <c r="L21" s="17"/>
      <c r="M21" s="17"/>
      <c r="N21" s="18"/>
      <c r="O21" s="15"/>
      <c r="S21" s="15"/>
    </row>
    <row r="22" spans="2:19" ht="15" customHeight="1" thickBot="1">
      <c r="C22" s="66" t="s">
        <v>24</v>
      </c>
      <c r="D22" s="67">
        <f>D21</f>
        <v>0</v>
      </c>
      <c r="E22" s="60"/>
      <c r="F22" s="61"/>
      <c r="G22" s="60">
        <f>G21</f>
        <v>0</v>
      </c>
      <c r="H22" s="62"/>
      <c r="J22" s="16"/>
      <c r="K22" s="17"/>
      <c r="L22" s="17"/>
      <c r="M22" s="17"/>
      <c r="N22" s="18"/>
      <c r="O22" s="15"/>
      <c r="S22" s="15"/>
    </row>
    <row r="23" spans="2:19" ht="15" customHeight="1" thickBot="1">
      <c r="D23" s="68"/>
      <c r="E23" s="69"/>
      <c r="F23" s="69"/>
      <c r="G23" s="69"/>
      <c r="H23" s="69"/>
      <c r="J23" s="16"/>
      <c r="K23" s="17"/>
      <c r="L23" s="17"/>
      <c r="M23" s="17"/>
      <c r="N23" s="18"/>
      <c r="O23" s="15"/>
      <c r="S23" s="15"/>
    </row>
    <row r="24" spans="2:19" ht="15" customHeight="1" thickBot="1">
      <c r="B24" s="70"/>
      <c r="C24" s="71" t="s">
        <v>25</v>
      </c>
      <c r="D24" s="72">
        <f>D20+D22</f>
        <v>0</v>
      </c>
      <c r="E24" s="73"/>
      <c r="F24" s="61"/>
      <c r="G24" s="73">
        <f>G22+G20</f>
        <v>0</v>
      </c>
      <c r="H24" s="73"/>
      <c r="J24" s="16"/>
      <c r="K24" s="17"/>
      <c r="L24" s="17"/>
      <c r="M24" s="17"/>
      <c r="N24" s="18"/>
      <c r="O24" s="15"/>
      <c r="S24" s="15"/>
    </row>
    <row r="25" spans="2:19" ht="15" customHeight="1">
      <c r="B25" s="4"/>
      <c r="C25" s="4"/>
      <c r="D25" s="74"/>
      <c r="E25" s="75"/>
      <c r="F25" s="75"/>
      <c r="G25" s="75"/>
      <c r="H25" s="75"/>
      <c r="J25" s="16"/>
      <c r="K25" s="17"/>
      <c r="L25" s="17"/>
      <c r="M25" s="17"/>
      <c r="N25" s="18"/>
      <c r="O25" s="15"/>
      <c r="S25" s="15"/>
    </row>
    <row r="26" spans="2:19">
      <c r="B26" s="76">
        <v>2</v>
      </c>
      <c r="C26" s="77" t="s">
        <v>26</v>
      </c>
      <c r="D26" s="78" t="s">
        <v>15</v>
      </c>
      <c r="E26" s="78"/>
      <c r="F26" s="78"/>
      <c r="G26" s="78"/>
      <c r="H26" s="78"/>
      <c r="J26" s="16"/>
      <c r="K26" s="17"/>
      <c r="L26" s="17"/>
      <c r="M26" s="17"/>
      <c r="N26" s="18"/>
      <c r="O26" s="15"/>
      <c r="S26" s="15"/>
    </row>
    <row r="27" spans="2:19" ht="17" thickBot="1">
      <c r="B27" s="4"/>
      <c r="C27" s="4"/>
      <c r="D27" s="74"/>
      <c r="E27" s="75"/>
      <c r="F27" s="75"/>
      <c r="G27" s="75"/>
      <c r="H27" s="75"/>
      <c r="J27" s="16"/>
      <c r="K27" s="17"/>
      <c r="L27" s="17"/>
      <c r="M27" s="17"/>
      <c r="N27" s="18"/>
      <c r="O27" s="15"/>
    </row>
    <row r="28" spans="2:19" ht="17" thickBot="1">
      <c r="B28" s="79" t="s">
        <v>27</v>
      </c>
      <c r="C28" s="80" t="s">
        <v>28</v>
      </c>
      <c r="D28" s="81"/>
      <c r="E28" s="65"/>
      <c r="F28" s="48"/>
      <c r="G28" s="65"/>
      <c r="H28" s="65"/>
      <c r="I28" s="43"/>
      <c r="J28" s="38"/>
      <c r="K28" s="39"/>
      <c r="L28" s="39"/>
      <c r="M28" s="39"/>
      <c r="N28" s="40"/>
    </row>
    <row r="29" spans="2:19" ht="17" thickBot="1">
      <c r="B29" s="82"/>
      <c r="C29" s="83" t="s">
        <v>29</v>
      </c>
      <c r="D29" s="84">
        <f>D28</f>
        <v>0</v>
      </c>
      <c r="E29" s="85"/>
      <c r="F29" s="86"/>
      <c r="G29" s="85">
        <f>G28</f>
        <v>0</v>
      </c>
      <c r="H29" s="85"/>
      <c r="J29" s="15"/>
      <c r="K29" s="15"/>
      <c r="L29" s="15"/>
      <c r="M29" s="15"/>
      <c r="N29" s="15"/>
    </row>
    <row r="30" spans="2:19" ht="17" thickBot="1">
      <c r="B30" s="79" t="s">
        <v>30</v>
      </c>
      <c r="C30" s="87" t="s">
        <v>31</v>
      </c>
      <c r="D30" s="81"/>
      <c r="E30" s="65"/>
      <c r="F30" s="48"/>
      <c r="G30" s="65"/>
      <c r="H30" s="65"/>
      <c r="J30" s="15"/>
      <c r="K30" s="15"/>
      <c r="L30" s="15"/>
      <c r="M30" s="15"/>
      <c r="N30" s="15"/>
    </row>
    <row r="31" spans="2:19" ht="17" thickBot="1">
      <c r="B31" s="82"/>
      <c r="C31" s="83" t="s">
        <v>32</v>
      </c>
      <c r="D31" s="84">
        <f>D30</f>
        <v>0</v>
      </c>
      <c r="E31" s="85"/>
      <c r="F31" s="86"/>
      <c r="G31" s="85">
        <f>G30</f>
        <v>0</v>
      </c>
      <c r="H31" s="85"/>
    </row>
    <row r="32" spans="2:19" ht="17" thickBot="1">
      <c r="B32" s="88" t="s">
        <v>33</v>
      </c>
      <c r="C32" s="89" t="s">
        <v>33</v>
      </c>
      <c r="D32" s="90"/>
      <c r="E32" s="65"/>
      <c r="F32" s="48"/>
      <c r="G32" s="65"/>
      <c r="H32" s="65"/>
    </row>
    <row r="33" spans="2:9" ht="17" thickBot="1">
      <c r="B33" s="91"/>
      <c r="C33" s="83" t="s">
        <v>34</v>
      </c>
      <c r="D33" s="84">
        <f>D32</f>
        <v>0</v>
      </c>
      <c r="E33" s="85"/>
      <c r="F33" s="86"/>
      <c r="G33" s="85">
        <f>G32</f>
        <v>0</v>
      </c>
      <c r="H33" s="85"/>
    </row>
    <row r="34" spans="2:9" ht="17" thickBot="1">
      <c r="B34" s="92" t="s">
        <v>35</v>
      </c>
      <c r="C34" s="89" t="s">
        <v>35</v>
      </c>
      <c r="D34" s="90"/>
      <c r="E34" s="65"/>
      <c r="F34" s="48"/>
      <c r="G34" s="65"/>
      <c r="H34" s="65"/>
    </row>
    <row r="35" spans="2:9" ht="17" thickBot="1">
      <c r="B35" s="93"/>
      <c r="C35" s="83" t="s">
        <v>36</v>
      </c>
      <c r="D35" s="84">
        <f>D34</f>
        <v>0</v>
      </c>
      <c r="E35" s="85"/>
      <c r="F35" s="86"/>
      <c r="G35" s="85">
        <f>G34</f>
        <v>0</v>
      </c>
      <c r="H35" s="85"/>
    </row>
    <row r="36" spans="2:9" ht="17" thickBot="1">
      <c r="B36" s="94" t="s">
        <v>37</v>
      </c>
      <c r="C36" s="89" t="s">
        <v>37</v>
      </c>
      <c r="D36" s="90"/>
      <c r="E36" s="65"/>
      <c r="F36" s="48"/>
      <c r="G36" s="65"/>
      <c r="H36" s="65"/>
    </row>
    <row r="37" spans="2:9" ht="17" thickBot="1">
      <c r="B37" s="95"/>
      <c r="C37" s="83" t="s">
        <v>38</v>
      </c>
      <c r="D37" s="84">
        <f>D36</f>
        <v>0</v>
      </c>
      <c r="E37" s="85"/>
      <c r="F37" s="86"/>
      <c r="G37" s="85">
        <f>G36</f>
        <v>0</v>
      </c>
      <c r="H37" s="85"/>
    </row>
    <row r="38" spans="2:9" ht="17" thickBot="1">
      <c r="B38" s="96" t="s">
        <v>39</v>
      </c>
      <c r="C38" s="89" t="s">
        <v>40</v>
      </c>
      <c r="D38" s="90"/>
      <c r="E38" s="65"/>
      <c r="F38" s="48"/>
      <c r="G38" s="65"/>
      <c r="H38" s="65"/>
      <c r="I38" s="97"/>
    </row>
    <row r="39" spans="2:9" ht="17" thickBot="1">
      <c r="B39" s="4"/>
      <c r="C39" s="83" t="s">
        <v>41</v>
      </c>
      <c r="D39" s="84">
        <f>D38</f>
        <v>0</v>
      </c>
      <c r="E39" s="85"/>
      <c r="F39" s="86"/>
      <c r="G39" s="85">
        <f>G38</f>
        <v>0</v>
      </c>
      <c r="H39" s="85"/>
    </row>
    <row r="40" spans="2:9" ht="17" thickBot="1">
      <c r="B40" s="4"/>
      <c r="C40" s="4"/>
      <c r="D40" s="98"/>
      <c r="E40" s="99"/>
      <c r="F40" s="99"/>
      <c r="G40" s="99"/>
      <c r="H40" s="99"/>
    </row>
    <row r="41" spans="2:9" ht="17" thickBot="1">
      <c r="B41" s="4"/>
      <c r="C41" s="100" t="s">
        <v>25</v>
      </c>
      <c r="D41" s="101">
        <f>D29+D31+D33+D35+D37+D39</f>
        <v>0</v>
      </c>
      <c r="E41" s="102"/>
      <c r="F41" s="86"/>
      <c r="G41" s="102">
        <f>G39+G37+G35+G33+G31+G29</f>
        <v>0</v>
      </c>
      <c r="H41" s="102"/>
    </row>
    <row r="42" spans="2:9">
      <c r="B42" s="4"/>
      <c r="C42" s="4"/>
      <c r="D42" s="74"/>
      <c r="E42" s="75"/>
      <c r="F42" s="75"/>
      <c r="G42" s="75"/>
      <c r="H42" s="75"/>
    </row>
    <row r="43" spans="2:9">
      <c r="B43" s="103">
        <v>3</v>
      </c>
      <c r="C43" s="104" t="s">
        <v>42</v>
      </c>
      <c r="D43" s="105" t="s">
        <v>15</v>
      </c>
      <c r="E43" s="105"/>
      <c r="F43" s="105"/>
      <c r="G43" s="105"/>
      <c r="H43" s="105"/>
    </row>
    <row r="44" spans="2:9" ht="17" thickBot="1">
      <c r="B44" s="4"/>
      <c r="C44" s="4"/>
      <c r="D44" s="74"/>
      <c r="E44" s="75"/>
      <c r="F44" s="75"/>
      <c r="G44" s="75"/>
      <c r="H44" s="75"/>
    </row>
    <row r="45" spans="2:9">
      <c r="B45" s="106" t="s">
        <v>35</v>
      </c>
      <c r="C45" s="107" t="s">
        <v>43</v>
      </c>
      <c r="D45" s="108"/>
      <c r="E45" s="47"/>
      <c r="F45" s="48"/>
      <c r="G45" s="47"/>
      <c r="H45" s="47"/>
    </row>
    <row r="46" spans="2:9" ht="17" thickBot="1">
      <c r="B46" s="109"/>
      <c r="C46" s="110" t="s">
        <v>44</v>
      </c>
      <c r="D46" s="111"/>
      <c r="E46" s="56"/>
      <c r="F46" s="48"/>
      <c r="G46" s="56"/>
      <c r="H46" s="56"/>
    </row>
    <row r="47" spans="2:9" ht="17" thickBot="1">
      <c r="B47" s="82"/>
      <c r="C47" s="112" t="s">
        <v>36</v>
      </c>
      <c r="D47" s="113">
        <f>SUM(D45:D46)</f>
        <v>0</v>
      </c>
      <c r="E47" s="114"/>
      <c r="F47" s="61"/>
      <c r="G47" s="115">
        <f>G46+G45</f>
        <v>0</v>
      </c>
      <c r="H47" s="115"/>
    </row>
    <row r="48" spans="2:9">
      <c r="B48" s="116" t="s">
        <v>27</v>
      </c>
      <c r="C48" s="117" t="s">
        <v>43</v>
      </c>
      <c r="D48" s="118"/>
      <c r="E48" s="119"/>
      <c r="F48" s="48"/>
      <c r="G48" s="119"/>
      <c r="H48" s="119"/>
    </row>
    <row r="49" spans="2:8" ht="17" thickBot="1">
      <c r="B49" s="120"/>
      <c r="C49" s="121" t="s">
        <v>44</v>
      </c>
      <c r="D49" s="122"/>
      <c r="E49" s="123"/>
      <c r="F49" s="48"/>
      <c r="G49" s="123"/>
      <c r="H49" s="123"/>
    </row>
    <row r="50" spans="2:8" ht="17" thickBot="1">
      <c r="B50" s="82"/>
      <c r="C50" s="124" t="s">
        <v>45</v>
      </c>
      <c r="D50" s="125">
        <f>SUM(D48:D49)</f>
        <v>0</v>
      </c>
      <c r="E50" s="114"/>
      <c r="F50" s="61"/>
      <c r="G50" s="115">
        <f>G49+G48</f>
        <v>0</v>
      </c>
      <c r="H50" s="115"/>
    </row>
    <row r="51" spans="2:8">
      <c r="B51" s="126" t="s">
        <v>46</v>
      </c>
      <c r="C51" s="127" t="s">
        <v>43</v>
      </c>
      <c r="D51" s="128"/>
      <c r="E51" s="47"/>
      <c r="F51" s="48"/>
      <c r="G51" s="47"/>
      <c r="H51" s="47"/>
    </row>
    <row r="52" spans="2:8" ht="17" thickBot="1">
      <c r="B52" s="129"/>
      <c r="C52" s="130" t="s">
        <v>44</v>
      </c>
      <c r="D52" s="111"/>
      <c r="E52" s="56"/>
      <c r="F52" s="48"/>
      <c r="G52" s="56"/>
      <c r="H52" s="56"/>
    </row>
    <row r="53" spans="2:8" ht="17" thickBot="1">
      <c r="B53" s="82"/>
      <c r="C53" s="131" t="s">
        <v>47</v>
      </c>
      <c r="D53" s="132">
        <f>SUM(D51:D52)</f>
        <v>0</v>
      </c>
      <c r="E53" s="115"/>
      <c r="F53" s="61"/>
      <c r="G53" s="115">
        <f>G52+G51</f>
        <v>0</v>
      </c>
      <c r="H53" s="115"/>
    </row>
    <row r="54" spans="2:8" ht="17" thickBot="1">
      <c r="B54" s="4"/>
      <c r="C54" s="4"/>
      <c r="D54" s="74"/>
      <c r="E54" s="75"/>
      <c r="F54" s="75"/>
      <c r="G54" s="75"/>
      <c r="H54" s="75"/>
    </row>
    <row r="55" spans="2:8" ht="17" thickBot="1">
      <c r="B55" s="4"/>
      <c r="C55" s="133" t="s">
        <v>25</v>
      </c>
      <c r="D55" s="134">
        <f>D47+D50+D53</f>
        <v>0</v>
      </c>
      <c r="E55" s="135"/>
      <c r="F55" s="61"/>
      <c r="G55" s="135">
        <f>G53+G50+G47</f>
        <v>0</v>
      </c>
      <c r="H55" s="135"/>
    </row>
    <row r="56" spans="2:8">
      <c r="B56" s="4"/>
      <c r="C56" s="4"/>
      <c r="D56" s="74"/>
      <c r="E56" s="75"/>
      <c r="F56" s="75"/>
      <c r="G56" s="75"/>
      <c r="H56" s="75"/>
    </row>
    <row r="57" spans="2:8">
      <c r="B57" s="136">
        <v>4</v>
      </c>
      <c r="C57" s="137" t="s">
        <v>48</v>
      </c>
      <c r="D57" s="138" t="s">
        <v>15</v>
      </c>
      <c r="E57" s="138"/>
      <c r="F57" s="138"/>
      <c r="G57" s="138"/>
      <c r="H57" s="138"/>
    </row>
    <row r="58" spans="2:8" ht="17" thickBot="1">
      <c r="B58" s="4"/>
      <c r="C58" s="4"/>
      <c r="D58" s="74"/>
      <c r="E58" s="75"/>
      <c r="F58" s="75"/>
      <c r="G58" s="75"/>
      <c r="H58" s="75"/>
    </row>
    <row r="59" spans="2:8">
      <c r="B59" s="139" t="s">
        <v>49</v>
      </c>
      <c r="C59" s="140" t="s">
        <v>50</v>
      </c>
      <c r="D59" s="141"/>
      <c r="E59" s="142"/>
      <c r="F59" s="143"/>
      <c r="G59" s="142"/>
      <c r="H59" s="142"/>
    </row>
    <row r="60" spans="2:8">
      <c r="B60" s="144"/>
      <c r="C60" s="145" t="s">
        <v>51</v>
      </c>
      <c r="D60" s="146"/>
      <c r="E60" s="147"/>
      <c r="F60" s="143"/>
      <c r="G60" s="147"/>
      <c r="H60" s="147"/>
    </row>
    <row r="61" spans="2:8" ht="15" customHeight="1">
      <c r="B61" s="144"/>
      <c r="C61" s="145" t="s">
        <v>52</v>
      </c>
      <c r="D61" s="146"/>
      <c r="E61" s="147"/>
      <c r="F61" s="143"/>
      <c r="G61" s="147"/>
      <c r="H61" s="147"/>
    </row>
    <row r="62" spans="2:8">
      <c r="B62" s="144"/>
      <c r="C62" s="145" t="s">
        <v>53</v>
      </c>
      <c r="D62" s="146"/>
      <c r="E62" s="147"/>
      <c r="F62" s="143"/>
      <c r="G62" s="147"/>
      <c r="H62" s="147"/>
    </row>
    <row r="63" spans="2:8" ht="17" thickBot="1">
      <c r="B63" s="148"/>
      <c r="C63" s="149" t="s">
        <v>43</v>
      </c>
      <c r="D63" s="150"/>
      <c r="E63" s="151"/>
      <c r="F63" s="143"/>
      <c r="G63" s="151"/>
      <c r="H63" s="151"/>
    </row>
    <row r="64" spans="2:8" ht="15" customHeight="1" thickBot="1">
      <c r="B64" s="152"/>
      <c r="C64" s="153" t="s">
        <v>54</v>
      </c>
      <c r="D64" s="154">
        <f>SUM(D59:D63)</f>
        <v>0</v>
      </c>
      <c r="E64" s="155"/>
      <c r="F64" s="156"/>
      <c r="G64" s="155">
        <f>SUM(G59:G63)</f>
        <v>0</v>
      </c>
      <c r="H64" s="155"/>
    </row>
    <row r="65" spans="2:8">
      <c r="B65" s="157" t="s">
        <v>55</v>
      </c>
      <c r="C65" s="158" t="s">
        <v>56</v>
      </c>
      <c r="D65" s="159"/>
      <c r="E65" s="142"/>
      <c r="F65" s="143"/>
      <c r="G65" s="142"/>
      <c r="H65" s="142"/>
    </row>
    <row r="66" spans="2:8">
      <c r="B66" s="160"/>
      <c r="C66" s="161" t="s">
        <v>57</v>
      </c>
      <c r="D66" s="162"/>
      <c r="E66" s="147"/>
      <c r="F66" s="143"/>
      <c r="G66" s="147"/>
      <c r="H66" s="147"/>
    </row>
    <row r="67" spans="2:8">
      <c r="B67" s="160"/>
      <c r="C67" s="161" t="s">
        <v>58</v>
      </c>
      <c r="D67" s="163"/>
      <c r="E67" s="147"/>
      <c r="F67" s="143"/>
      <c r="G67" s="147"/>
      <c r="H67" s="147"/>
    </row>
    <row r="68" spans="2:8">
      <c r="B68" s="160"/>
      <c r="C68" s="161" t="s">
        <v>59</v>
      </c>
      <c r="D68" s="163"/>
      <c r="E68" s="147"/>
      <c r="F68" s="143"/>
      <c r="G68" s="147"/>
      <c r="H68" s="147"/>
    </row>
    <row r="69" spans="2:8">
      <c r="B69" s="160"/>
      <c r="C69" s="161" t="s">
        <v>60</v>
      </c>
      <c r="D69" s="163"/>
      <c r="E69" s="147"/>
      <c r="F69" s="143"/>
      <c r="G69" s="147"/>
      <c r="H69" s="147"/>
    </row>
    <row r="70" spans="2:8" ht="17" thickBot="1">
      <c r="B70" s="164"/>
      <c r="C70" s="165" t="s">
        <v>61</v>
      </c>
      <c r="D70" s="163"/>
      <c r="E70" s="151"/>
      <c r="F70" s="143"/>
      <c r="G70" s="151"/>
      <c r="H70" s="151"/>
    </row>
    <row r="71" spans="2:8" ht="15" customHeight="1" thickBot="1">
      <c r="B71" s="166"/>
      <c r="C71" s="153" t="s">
        <v>62</v>
      </c>
      <c r="D71" s="154">
        <f>SUM(D65:D70)</f>
        <v>0</v>
      </c>
      <c r="E71" s="155"/>
      <c r="F71" s="156"/>
      <c r="G71" s="155">
        <f>SUM(G65:G70)</f>
        <v>0</v>
      </c>
      <c r="H71" s="155"/>
    </row>
    <row r="72" spans="2:8" ht="17" thickBot="1">
      <c r="B72" s="4"/>
      <c r="C72" s="4"/>
      <c r="D72" s="74"/>
      <c r="E72" s="75"/>
      <c r="F72" s="75"/>
      <c r="G72" s="75"/>
      <c r="H72" s="75"/>
    </row>
    <row r="73" spans="2:8" ht="17" thickBot="1">
      <c r="B73" s="4"/>
      <c r="C73" s="167" t="s">
        <v>25</v>
      </c>
      <c r="D73" s="168">
        <f>D71+D64</f>
        <v>0</v>
      </c>
      <c r="E73" s="169"/>
      <c r="F73" s="86"/>
      <c r="G73" s="169">
        <f>G71+G64</f>
        <v>0</v>
      </c>
      <c r="H73" s="169"/>
    </row>
    <row r="74" spans="2:8">
      <c r="B74" s="4"/>
      <c r="C74" s="4"/>
      <c r="D74" s="74"/>
      <c r="E74" s="75"/>
      <c r="F74" s="75"/>
      <c r="G74" s="75"/>
      <c r="H74" s="75"/>
    </row>
    <row r="75" spans="2:8">
      <c r="B75" s="170">
        <v>5</v>
      </c>
      <c r="C75" s="171" t="s">
        <v>63</v>
      </c>
      <c r="D75" s="172" t="s">
        <v>15</v>
      </c>
      <c r="E75" s="172"/>
      <c r="F75" s="172"/>
      <c r="G75" s="172"/>
      <c r="H75" s="172"/>
    </row>
    <row r="76" spans="2:8" ht="17" thickBot="1">
      <c r="B76" s="4"/>
      <c r="C76" s="4"/>
      <c r="D76" s="74"/>
      <c r="E76" s="75"/>
      <c r="F76" s="75"/>
      <c r="G76" s="75"/>
      <c r="H76" s="75"/>
    </row>
    <row r="77" spans="2:8">
      <c r="B77" s="173" t="s">
        <v>64</v>
      </c>
      <c r="C77" s="174" t="s">
        <v>65</v>
      </c>
      <c r="D77" s="175"/>
      <c r="E77" s="47"/>
      <c r="F77" s="48"/>
      <c r="G77" s="47"/>
      <c r="H77" s="47"/>
    </row>
    <row r="78" spans="2:8">
      <c r="B78" s="176"/>
      <c r="C78" s="177" t="s">
        <v>66</v>
      </c>
      <c r="D78" s="178"/>
      <c r="E78" s="52"/>
      <c r="F78" s="48"/>
      <c r="G78" s="52"/>
      <c r="H78" s="52"/>
    </row>
    <row r="79" spans="2:8" ht="17" thickBot="1">
      <c r="B79" s="179"/>
      <c r="C79" s="180" t="s">
        <v>67</v>
      </c>
      <c r="D79" s="181"/>
      <c r="E79" s="56"/>
      <c r="F79" s="48"/>
      <c r="G79" s="56"/>
      <c r="H79" s="56"/>
    </row>
    <row r="80" spans="2:8" ht="17" thickBot="1">
      <c r="B80" s="182"/>
      <c r="C80" s="183" t="s">
        <v>68</v>
      </c>
      <c r="D80" s="184">
        <f>SUM(D77:D79)</f>
        <v>0</v>
      </c>
      <c r="E80" s="185"/>
      <c r="F80" s="86"/>
      <c r="G80" s="185">
        <f>G77+G78+G79</f>
        <v>0</v>
      </c>
      <c r="H80" s="185"/>
    </row>
    <row r="81" spans="2:8" ht="17" thickBot="1">
      <c r="B81" s="186" t="s">
        <v>69</v>
      </c>
      <c r="C81" s="187" t="s">
        <v>70</v>
      </c>
      <c r="D81" s="188"/>
      <c r="E81" s="47"/>
      <c r="F81" s="48"/>
      <c r="G81" s="47"/>
      <c r="H81" s="47"/>
    </row>
    <row r="82" spans="2:8" ht="17" thickBot="1">
      <c r="B82" s="93"/>
      <c r="C82" s="189" t="s">
        <v>71</v>
      </c>
      <c r="D82" s="190"/>
      <c r="E82" s="56"/>
      <c r="F82" s="48"/>
      <c r="G82" s="56"/>
      <c r="H82" s="56"/>
    </row>
    <row r="83" spans="2:8" ht="17" thickBot="1">
      <c r="B83" s="93"/>
      <c r="C83" s="191" t="s">
        <v>72</v>
      </c>
      <c r="D83" s="192">
        <f>D81+D82</f>
        <v>0</v>
      </c>
      <c r="E83" s="193"/>
      <c r="F83" s="86"/>
      <c r="G83" s="193">
        <f>G81+G82</f>
        <v>0</v>
      </c>
      <c r="H83" s="193"/>
    </row>
    <row r="84" spans="2:8" ht="17" thickBot="1">
      <c r="B84" s="4"/>
      <c r="C84" s="4"/>
      <c r="D84" s="98"/>
      <c r="E84" s="99"/>
      <c r="F84" s="99"/>
      <c r="G84" s="99"/>
      <c r="H84" s="99"/>
    </row>
    <row r="85" spans="2:8" ht="17" thickBot="1">
      <c r="B85" s="4"/>
      <c r="C85" s="194" t="s">
        <v>25</v>
      </c>
      <c r="D85" s="195">
        <f>D80+D83</f>
        <v>0</v>
      </c>
      <c r="E85" s="196"/>
      <c r="F85" s="86"/>
      <c r="G85" s="196">
        <f>G83+G80</f>
        <v>0</v>
      </c>
      <c r="H85" s="196"/>
    </row>
    <row r="86" spans="2:8">
      <c r="B86" s="4"/>
      <c r="C86" s="4"/>
      <c r="D86" s="197"/>
      <c r="E86" s="198"/>
      <c r="F86" s="198"/>
      <c r="G86" s="198"/>
      <c r="H86" s="198"/>
    </row>
    <row r="87" spans="2:8">
      <c r="B87" s="199">
        <v>6</v>
      </c>
      <c r="C87" s="200" t="s">
        <v>73</v>
      </c>
      <c r="D87" s="201" t="s">
        <v>15</v>
      </c>
      <c r="E87" s="201"/>
      <c r="F87" s="201"/>
      <c r="G87" s="201"/>
      <c r="H87" s="201"/>
    </row>
    <row r="88" spans="2:8" ht="17" thickBot="1">
      <c r="B88" s="4"/>
      <c r="C88" s="4"/>
      <c r="D88" s="197"/>
      <c r="E88" s="198"/>
      <c r="F88" s="198"/>
      <c r="G88" s="198"/>
      <c r="H88" s="198"/>
    </row>
    <row r="89" spans="2:8" ht="17" thickBot="1">
      <c r="B89" s="202" t="s">
        <v>74</v>
      </c>
      <c r="C89" s="203" t="s">
        <v>75</v>
      </c>
      <c r="D89" s="204"/>
      <c r="E89" s="65"/>
      <c r="F89" s="48"/>
      <c r="G89" s="65"/>
      <c r="H89" s="65"/>
    </row>
    <row r="90" spans="2:8" ht="17" thickBot="1">
      <c r="B90" s="4"/>
      <c r="C90" s="205" t="s">
        <v>76</v>
      </c>
      <c r="D90" s="206">
        <f>D89</f>
        <v>0</v>
      </c>
      <c r="E90" s="207"/>
      <c r="F90" s="86"/>
      <c r="G90" s="207">
        <f>G89</f>
        <v>0</v>
      </c>
      <c r="H90" s="207"/>
    </row>
    <row r="91" spans="2:8" ht="17" thickBot="1">
      <c r="B91" s="4"/>
      <c r="C91" s="4"/>
      <c r="D91" s="98"/>
      <c r="E91" s="99"/>
      <c r="F91" s="99"/>
      <c r="G91" s="99"/>
      <c r="H91" s="99"/>
    </row>
    <row r="92" spans="2:8" ht="17" thickBot="1">
      <c r="B92" s="4"/>
      <c r="C92" s="208" t="s">
        <v>25</v>
      </c>
      <c r="D92" s="209">
        <f>D90</f>
        <v>0</v>
      </c>
      <c r="E92" s="210"/>
      <c r="F92" s="86"/>
      <c r="G92" s="210">
        <f>G90</f>
        <v>0</v>
      </c>
      <c r="H92" s="210"/>
    </row>
    <row r="93" spans="2:8" ht="17" thickBot="1">
      <c r="D93" s="211"/>
      <c r="E93" s="211"/>
      <c r="F93" s="211"/>
      <c r="G93" s="211"/>
      <c r="H93" s="211"/>
    </row>
    <row r="94" spans="2:8">
      <c r="B94" s="212" t="s">
        <v>8</v>
      </c>
      <c r="C94" s="213"/>
      <c r="D94" s="214">
        <f>D24+D41+D55+D73+D85+D92</f>
        <v>0</v>
      </c>
      <c r="E94" s="215"/>
      <c r="F94" s="216"/>
      <c r="G94" s="217">
        <f>G92+G85+G73+G55+G41+G24</f>
        <v>0</v>
      </c>
      <c r="H94" s="218"/>
    </row>
    <row r="95" spans="2:8" ht="17" thickBot="1">
      <c r="B95" s="219"/>
      <c r="C95" s="220"/>
      <c r="D95" s="221"/>
      <c r="E95" s="222"/>
      <c r="F95" s="216"/>
      <c r="G95" s="223"/>
      <c r="H95" s="224"/>
    </row>
    <row r="97" spans="2:7">
      <c r="G97" s="225" t="s">
        <v>77</v>
      </c>
    </row>
    <row r="98" spans="2:7">
      <c r="G98" s="226"/>
    </row>
    <row r="99" spans="2:7" ht="17" thickBot="1">
      <c r="G99" s="227"/>
    </row>
    <row r="100" spans="2:7" ht="23" customHeight="1" thickBot="1">
      <c r="B100" s="228"/>
      <c r="C100" s="229" t="s">
        <v>78</v>
      </c>
      <c r="D100" s="230"/>
    </row>
    <row r="101" spans="2:7" ht="17" thickBot="1"/>
    <row r="102" spans="2:7" ht="23" customHeight="1" thickBot="1">
      <c r="B102" s="231" t="s">
        <v>79</v>
      </c>
      <c r="C102" s="232" t="s">
        <v>43</v>
      </c>
      <c r="D102" s="233">
        <f>D17+D18+D19+D45+D48+D51+D63+D70+D89</f>
        <v>0</v>
      </c>
    </row>
    <row r="103" spans="2:7" ht="23" customHeight="1" thickBot="1">
      <c r="B103" s="234"/>
      <c r="C103" s="232" t="s">
        <v>44</v>
      </c>
      <c r="D103" s="233">
        <f>D21+D28+D30+D32+D34+D36+D38+D46+D49+D52+D59+D60+D61+D62+D65+D66+D67+D68+D69+D77+D78+D79+D81+D82</f>
        <v>0</v>
      </c>
    </row>
  </sheetData>
  <mergeCells count="28">
    <mergeCell ref="G97:G99"/>
    <mergeCell ref="C100:D100"/>
    <mergeCell ref="B102:B103"/>
    <mergeCell ref="B77:B79"/>
    <mergeCell ref="D87:H87"/>
    <mergeCell ref="B94:C95"/>
    <mergeCell ref="D94:D95"/>
    <mergeCell ref="E94:E95"/>
    <mergeCell ref="G94:G95"/>
    <mergeCell ref="H94:H95"/>
    <mergeCell ref="B48:B49"/>
    <mergeCell ref="B51:B52"/>
    <mergeCell ref="D57:H57"/>
    <mergeCell ref="B59:B63"/>
    <mergeCell ref="B65:B70"/>
    <mergeCell ref="D75:H75"/>
    <mergeCell ref="D15:H15"/>
    <mergeCell ref="B17:B19"/>
    <mergeCell ref="J17:N28"/>
    <mergeCell ref="D26:H26"/>
    <mergeCell ref="D43:H43"/>
    <mergeCell ref="B45:B46"/>
    <mergeCell ref="B1:C1"/>
    <mergeCell ref="B3:H4"/>
    <mergeCell ref="J4:N13"/>
    <mergeCell ref="C6:D6"/>
    <mergeCell ref="B8:B9"/>
    <mergeCell ref="B13: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Ortiz Oviedo</dc:creator>
  <cp:lastModifiedBy>Juan Ortiz Oviedo</cp:lastModifiedBy>
  <dcterms:created xsi:type="dcterms:W3CDTF">2026-09-23T21:33:36Z</dcterms:created>
  <dcterms:modified xsi:type="dcterms:W3CDTF">2026-09-23T21:35:43Z</dcterms:modified>
</cp:coreProperties>
</file>